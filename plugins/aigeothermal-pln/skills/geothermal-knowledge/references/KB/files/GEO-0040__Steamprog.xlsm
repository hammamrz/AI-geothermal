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as\Downloads\Training IP\"/>
    </mc:Choice>
  </mc:AlternateContent>
  <xr:revisionPtr revIDLastSave="0" documentId="13_ncr:1_{CACA081F-BB3F-4EA4-9E23-2E63CCACB44F}" xr6:coauthVersionLast="47" xr6:coauthVersionMax="47" xr10:uidLastSave="{00000000-0000-0000-0000-000000000000}"/>
  <bookViews>
    <workbookView xWindow="-110" yWindow="-110" windowWidth="19420" windowHeight="10300" activeTab="5" xr2:uid="{00000000-000D-0000-FFFF-FFFF00000000}"/>
  </bookViews>
  <sheets>
    <sheet name="Info" sheetId="1" r:id="rId1"/>
    <sheet name="Usage" sheetId="2" r:id="rId2"/>
    <sheet name="Reference" sheetId="3" r:id="rId3"/>
    <sheet name="Sheet1" sheetId="15" r:id="rId4"/>
    <sheet name="Sheet2" sheetId="16" r:id="rId5"/>
    <sheet name="Sheet3" sheetId="17" r:id="rId6"/>
    <sheet name="waterprop" sheetId="4" state="veryHidden" r:id=""/>
  </sheets>
  <functionGroups builtInGroupCount="19"/>
  <externalReferences>
    <externalReference r:id="rId7"/>
  </externalReferences>
  <definedNames>
    <definedName name="Chromium_Iron">#REF!</definedName>
  </definedNames>
  <calcPr calcId="191029"/>
</workbook>
</file>

<file path=xl/calcChain.xml><?xml version="1.0" encoding="utf-8"?>
<calcChain xmlns="http://schemas.openxmlformats.org/spreadsheetml/2006/main">
  <c r="B66" i="17" l="1"/>
  <c r="B64" i="17"/>
  <c r="B54" i="17"/>
  <c r="B45" i="17"/>
  <c r="B15" i="16"/>
  <c r="B12" i="16"/>
  <c r="C12" i="16"/>
  <c r="A12" i="16"/>
  <c r="E15" i="16"/>
  <c r="B11" i="16"/>
  <c r="C11" i="16"/>
  <c r="A11" i="16"/>
  <c r="A13" i="16"/>
  <c r="A3" i="16"/>
  <c r="A4" i="16"/>
  <c r="A2" i="16"/>
  <c r="H2" i="15"/>
  <c r="H3" i="15"/>
  <c r="H4" i="15"/>
  <c r="H5" i="15"/>
  <c r="H6" i="15"/>
  <c r="H7" i="15"/>
  <c r="H8" i="15"/>
  <c r="H9" i="15"/>
  <c r="H10" i="15"/>
  <c r="H11" i="15"/>
  <c r="G2" i="15"/>
  <c r="G3" i="15"/>
  <c r="G4" i="15"/>
  <c r="G5" i="15"/>
  <c r="G6" i="15"/>
  <c r="G7" i="15"/>
  <c r="G8" i="15"/>
  <c r="G9" i="15"/>
  <c r="G10" i="15"/>
  <c r="G11" i="15"/>
  <c r="F2" i="15"/>
  <c r="F3" i="15"/>
  <c r="F4" i="15"/>
  <c r="F5" i="15"/>
  <c r="F6" i="15"/>
  <c r="F7" i="15"/>
  <c r="F8" i="15"/>
  <c r="F9" i="15"/>
  <c r="F10" i="15"/>
  <c r="F11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1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2" i="15"/>
  <c r="F130" i="3"/>
  <c r="F80" i="3"/>
  <c r="F114" i="3"/>
  <c r="F97" i="3"/>
  <c r="F31" i="3"/>
  <c r="F17" i="3"/>
  <c r="F64" i="3"/>
  <c r="F146" i="3"/>
  <c r="F47" i="3"/>
  <c r="I9" i="15"/>
  <c r="I2" i="15"/>
  <c r="I6" i="15"/>
  <c r="I10" i="15"/>
  <c r="I5" i="15"/>
  <c r="I3" i="15"/>
  <c r="I7" i="15"/>
  <c r="I11" i="15"/>
  <c r="I4" i="15"/>
  <c r="I8" i="15"/>
  <c r="I13" i="15"/>
  <c r="I21" i="15"/>
  <c r="I29" i="15"/>
  <c r="I37" i="15"/>
  <c r="I24" i="15"/>
  <c r="I14" i="15"/>
  <c r="I22" i="15"/>
  <c r="I30" i="15"/>
  <c r="I32" i="15"/>
  <c r="I36" i="15"/>
  <c r="I15" i="15"/>
  <c r="I23" i="15"/>
  <c r="I31" i="15"/>
  <c r="I16" i="15"/>
  <c r="I17" i="15"/>
  <c r="I25" i="15"/>
  <c r="I33" i="15"/>
  <c r="I19" i="15"/>
  <c r="I35" i="15"/>
  <c r="I20" i="15"/>
  <c r="I18" i="15"/>
  <c r="I26" i="15"/>
  <c r="I34" i="15"/>
  <c r="I27" i="15"/>
  <c r="I28" i="15"/>
  <c r="I12" i="15"/>
  <c r="D3" i="15"/>
  <c r="D11" i="15"/>
  <c r="D19" i="15"/>
  <c r="D27" i="15"/>
  <c r="D35" i="15"/>
  <c r="D31" i="15"/>
  <c r="D32" i="15"/>
  <c r="D4" i="15"/>
  <c r="D12" i="15"/>
  <c r="D20" i="15"/>
  <c r="D28" i="15"/>
  <c r="D36" i="15"/>
  <c r="D7" i="15"/>
  <c r="D24" i="15"/>
  <c r="D5" i="15"/>
  <c r="D13" i="15"/>
  <c r="D21" i="15"/>
  <c r="D29" i="15"/>
  <c r="D37" i="15"/>
  <c r="D23" i="15"/>
  <c r="D16" i="15"/>
  <c r="D6" i="15"/>
  <c r="D14" i="15"/>
  <c r="D22" i="15"/>
  <c r="D30" i="15"/>
  <c r="D15" i="15"/>
  <c r="D8" i="15"/>
  <c r="D9" i="15"/>
  <c r="D17" i="15"/>
  <c r="D25" i="15"/>
  <c r="D33" i="15"/>
  <c r="D10" i="15"/>
  <c r="D18" i="15"/>
  <c r="D26" i="15"/>
  <c r="D34" i="15"/>
  <c r="D2" i="15"/>
  <c r="C3" i="15"/>
  <c r="C11" i="15"/>
  <c r="C19" i="15"/>
  <c r="C27" i="15"/>
  <c r="C35" i="15"/>
  <c r="C4" i="15"/>
  <c r="C12" i="15"/>
  <c r="C20" i="15"/>
  <c r="C28" i="15"/>
  <c r="C36" i="15"/>
  <c r="C24" i="15"/>
  <c r="C5" i="15"/>
  <c r="C13" i="15"/>
  <c r="C21" i="15"/>
  <c r="C29" i="15"/>
  <c r="C37" i="15"/>
  <c r="C32" i="15"/>
  <c r="C6" i="15"/>
  <c r="C14" i="15"/>
  <c r="C22" i="15"/>
  <c r="C30" i="15"/>
  <c r="C16" i="15"/>
  <c r="C7" i="15"/>
  <c r="C15" i="15"/>
  <c r="C23" i="15"/>
  <c r="C31" i="15"/>
  <c r="C8" i="15"/>
  <c r="C9" i="15"/>
  <c r="C17" i="15"/>
  <c r="C25" i="15"/>
  <c r="C33" i="15"/>
  <c r="C10" i="15"/>
  <c r="C18" i="15"/>
  <c r="C26" i="15"/>
  <c r="C34" i="15"/>
  <c r="C2" i="15"/>
  <c r="B3" i="15"/>
  <c r="B27" i="15"/>
  <c r="B35" i="15"/>
  <c r="B4" i="15"/>
  <c r="B12" i="15"/>
  <c r="B20" i="15"/>
  <c r="B28" i="15"/>
  <c r="B36" i="15"/>
  <c r="B5" i="15"/>
  <c r="B13" i="15"/>
  <c r="B21" i="15"/>
  <c r="B29" i="15"/>
  <c r="B37" i="15"/>
  <c r="B24" i="15"/>
  <c r="B32" i="15"/>
  <c r="B6" i="15"/>
  <c r="B14" i="15"/>
  <c r="B22" i="15"/>
  <c r="B30" i="15"/>
  <c r="B8" i="15"/>
  <c r="B7" i="15"/>
  <c r="B15" i="15"/>
  <c r="B23" i="15"/>
  <c r="B31" i="15"/>
  <c r="B16" i="15"/>
  <c r="B9" i="15"/>
  <c r="B17" i="15"/>
  <c r="B25" i="15"/>
  <c r="B33" i="15"/>
  <c r="B19" i="15"/>
  <c r="B10" i="15"/>
  <c r="B18" i="15"/>
  <c r="B26" i="15"/>
  <c r="B34" i="15"/>
  <c r="B11" i="15"/>
  <c r="B2" i="15"/>
  <c r="B65" i="17"/>
  <c r="B63" i="17"/>
  <c r="B62" i="17"/>
  <c r="D60" i="17"/>
  <c r="D59" i="17"/>
  <c r="B55" i="17"/>
  <c r="D52" i="17"/>
  <c r="D51" i="17"/>
  <c r="B47" i="17"/>
  <c r="B46" i="17"/>
  <c r="D44" i="17"/>
  <c r="D43" i="17"/>
  <c r="B40" i="17"/>
  <c r="D36" i="17"/>
  <c r="B39" i="17"/>
  <c r="D37" i="17"/>
  <c r="C30" i="17"/>
  <c r="C31" i="17"/>
  <c r="C32" i="17"/>
  <c r="C29" i="17"/>
  <c r="B30" i="17"/>
  <c r="B31" i="17"/>
  <c r="B32" i="17"/>
  <c r="B29" i="17"/>
  <c r="D23" i="17"/>
  <c r="D18" i="17"/>
  <c r="B12" i="17"/>
  <c r="B13" i="17"/>
  <c r="B14" i="17"/>
  <c r="B11" i="17"/>
  <c r="B4" i="17"/>
  <c r="B5" i="17"/>
  <c r="B6" i="17"/>
  <c r="B3" i="17"/>
  <c r="B61" i="17" l="1"/>
  <c r="A5" i="16"/>
  <c r="A6" i="16" s="1"/>
  <c r="A7" i="16" s="1"/>
</calcChain>
</file>

<file path=xl/sharedStrings.xml><?xml version="1.0" encoding="utf-8"?>
<sst xmlns="http://schemas.openxmlformats.org/spreadsheetml/2006/main" count="283" uniqueCount="158">
  <si>
    <t>Properties of Water and Steam</t>
  </si>
  <si>
    <t xml:space="preserve">Authored by </t>
  </si>
  <si>
    <t>Bernhard Spang, The Mining Company</t>
  </si>
  <si>
    <t xml:space="preserve">URL: </t>
  </si>
  <si>
    <t>http://chemengineer.miningco.com</t>
  </si>
  <si>
    <t>email:</t>
  </si>
  <si>
    <t>chemengineer.guide@miningco.com</t>
  </si>
  <si>
    <t>Copyright 1997 by Bernhard Spang. All rights reserved.</t>
  </si>
  <si>
    <t xml:space="preserve">May be redistributed for free, but may not be changed or sold without the author's explicit permission.  </t>
  </si>
  <si>
    <t xml:space="preserve">Provided "as is" without warranty of any kind. </t>
  </si>
  <si>
    <t>This workbook contains Visual Basic functions for calculating properties of water and steam.</t>
  </si>
  <si>
    <t>Functions for the following properties are available:</t>
  </si>
  <si>
    <t xml:space="preserve">boiling point as a function of pressure, vapor pressure, specific volume or density, specific enthalpy, </t>
  </si>
  <si>
    <t>heat capacity, viscosity, and thermal conductivity.</t>
  </si>
  <si>
    <r>
      <t xml:space="preserve">See </t>
    </r>
    <r>
      <rPr>
        <b/>
        <sz val="10"/>
        <color indexed="10"/>
        <rFont val="Arial"/>
        <family val="2"/>
      </rPr>
      <t>Usage</t>
    </r>
    <r>
      <rPr>
        <sz val="10"/>
        <rFont val="Arial"/>
        <family val="2"/>
      </rPr>
      <t xml:space="preserve"> for an explanation of how to access the functions from within your spreadsheets.</t>
    </r>
  </si>
  <si>
    <r>
      <t xml:space="preserve">See </t>
    </r>
    <r>
      <rPr>
        <b/>
        <sz val="10"/>
        <color indexed="10"/>
        <rFont val="Arial"/>
        <family val="2"/>
      </rPr>
      <t>Reference</t>
    </r>
    <r>
      <rPr>
        <sz val="10"/>
        <rFont val="Arial"/>
        <family val="2"/>
      </rPr>
      <t xml:space="preserve"> for a list of available functions with syntax, arguments, units, and examples of use.</t>
    </r>
  </si>
  <si>
    <t>Note that the explanations given in this workbook relate to the use of the functions with source module sheet waterprop.</t>
  </si>
  <si>
    <t>For an explanation of how to use the functions with the Add-In file water.xla see the Readme file which accompanies water.xla.</t>
  </si>
  <si>
    <t>Source of equations:</t>
  </si>
  <si>
    <t xml:space="preserve">Properties of Water and Steam in SI-Units, </t>
  </si>
  <si>
    <t>2nd Revised and Updated Printing, Springer 1979, pp. 175 ff.</t>
  </si>
  <si>
    <t>Usage</t>
  </si>
  <si>
    <t>Property data are available by calling the appropriate property function using the syntax</t>
  </si>
  <si>
    <r>
      <t>=water.xls!waterprop</t>
    </r>
    <r>
      <rPr>
        <b/>
        <i/>
        <sz val="10"/>
        <color indexed="12"/>
        <rFont val="Arial"/>
        <family val="2"/>
      </rPr>
      <t>.functionname</t>
    </r>
    <r>
      <rPr>
        <b/>
        <sz val="10"/>
        <color indexed="12"/>
        <rFont val="Arial"/>
        <family val="2"/>
      </rPr>
      <t>(</t>
    </r>
    <r>
      <rPr>
        <b/>
        <i/>
        <sz val="10"/>
        <color indexed="12"/>
        <rFont val="Arial"/>
        <family val="2"/>
      </rPr>
      <t>parameterlist</t>
    </r>
    <r>
      <rPr>
        <b/>
        <sz val="10"/>
        <color indexed="12"/>
        <rFont val="Arial"/>
        <family val="2"/>
      </rPr>
      <t>)</t>
    </r>
  </si>
  <si>
    <t>where</t>
  </si>
  <si>
    <r>
      <t>functionname</t>
    </r>
    <r>
      <rPr>
        <sz val="10"/>
        <rFont val="Arial"/>
        <family val="2"/>
      </rPr>
      <t xml:space="preserve"> is the name of the function (see Reference)</t>
    </r>
  </si>
  <si>
    <t>and</t>
  </si>
  <si>
    <r>
      <t>parameterlist</t>
    </r>
    <r>
      <rPr>
        <sz val="10"/>
        <rFont val="Arial"/>
        <family val="2"/>
      </rPr>
      <t xml:space="preserve"> is the list of arguments for this function</t>
    </r>
  </si>
  <si>
    <r>
      <t xml:space="preserve">If the Visual Basic module </t>
    </r>
    <r>
      <rPr>
        <b/>
        <sz val="10"/>
        <color indexed="12"/>
        <rFont val="Arial"/>
        <family val="2"/>
      </rPr>
      <t>waterprop</t>
    </r>
    <r>
      <rPr>
        <sz val="10"/>
        <rFont val="Arial"/>
        <family val="2"/>
      </rPr>
      <t xml:space="preserve"> is copied from </t>
    </r>
    <r>
      <rPr>
        <b/>
        <sz val="10"/>
        <color indexed="12"/>
        <rFont val="Arial"/>
        <family val="2"/>
      </rPr>
      <t>water.xls</t>
    </r>
    <r>
      <rPr>
        <sz val="10"/>
        <rFont val="Arial"/>
        <family val="2"/>
      </rPr>
      <t xml:space="preserve"> to the Excel workbook </t>
    </r>
  </si>
  <si>
    <t>where property data are needed the simplified syntax is</t>
  </si>
  <si>
    <r>
      <t>=waterprop</t>
    </r>
    <r>
      <rPr>
        <b/>
        <i/>
        <sz val="10"/>
        <color indexed="12"/>
        <rFont val="Arial"/>
        <family val="2"/>
      </rPr>
      <t>.functionname</t>
    </r>
    <r>
      <rPr>
        <b/>
        <sz val="10"/>
        <color indexed="12"/>
        <rFont val="Arial"/>
        <family val="2"/>
      </rPr>
      <t>(</t>
    </r>
    <r>
      <rPr>
        <b/>
        <i/>
        <sz val="10"/>
        <color indexed="12"/>
        <rFont val="Arial"/>
        <family val="2"/>
      </rPr>
      <t>parameterlist</t>
    </r>
    <r>
      <rPr>
        <b/>
        <sz val="10"/>
        <color indexed="12"/>
        <rFont val="Arial"/>
        <family val="2"/>
      </rPr>
      <t>)</t>
    </r>
  </si>
  <si>
    <t>Reference</t>
  </si>
  <si>
    <t>Available functions:</t>
  </si>
  <si>
    <t>1. Boiling point as a function of pressure</t>
  </si>
  <si>
    <t>a) Usage:</t>
  </si>
  <si>
    <t>waterprop.BOILP(P)</t>
  </si>
  <si>
    <t>b) Argument(s):</t>
  </si>
  <si>
    <t>P</t>
  </si>
  <si>
    <t>pressure in bar</t>
  </si>
  <si>
    <t xml:space="preserve">c) Unit: </t>
  </si>
  <si>
    <t>boiling point in K</t>
  </si>
  <si>
    <t>d) Range of validity:</t>
  </si>
  <si>
    <t>0.01 bar &lt; p &lt; 220 bar</t>
  </si>
  <si>
    <t>e) Example:</t>
  </si>
  <si>
    <t>Boiling point of water at 1 bar in °C</t>
  </si>
  <si>
    <t xml:space="preserve">Formula in worksheet cell: </t>
  </si>
  <si>
    <t>=waterprop.BOILP(1)-273.15</t>
  </si>
  <si>
    <t>And the result is:</t>
  </si>
  <si>
    <t>°C</t>
  </si>
  <si>
    <t>2. Vapor pressure</t>
  </si>
  <si>
    <t>waterprop.VAPP(T)</t>
  </si>
  <si>
    <t>T</t>
  </si>
  <si>
    <t>temperature in K</t>
  </si>
  <si>
    <t>vapor pressure in bar</t>
  </si>
  <si>
    <t>273.16 K &lt; T &lt; 623 K</t>
  </si>
  <si>
    <t>Vapor pressure of water at 100 °C</t>
  </si>
  <si>
    <t>=waterprop.VAPP(373.15)</t>
  </si>
  <si>
    <t>bar</t>
  </si>
  <si>
    <t>3. Specific volume (or density) of liquid water</t>
  </si>
  <si>
    <t>waterprop.VSUB1(T; P)</t>
  </si>
  <si>
    <t xml:space="preserve">T </t>
  </si>
  <si>
    <r>
      <t>specific volume in 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/kg</t>
    </r>
  </si>
  <si>
    <t>273.16 K &lt; T &lt; 623.15 K</t>
  </si>
  <si>
    <t>vapor pressure &lt; p &lt; 1000 bar</t>
  </si>
  <si>
    <t>Density of water at 20 °C and 1 bar</t>
  </si>
  <si>
    <t>=1/waterprop.VSUB1(293.15; 1)</t>
  </si>
  <si>
    <r>
      <t>kg/m</t>
    </r>
    <r>
      <rPr>
        <vertAlign val="superscript"/>
        <sz val="10"/>
        <rFont val="Arial"/>
        <family val="2"/>
      </rPr>
      <t>3</t>
    </r>
  </si>
  <si>
    <t>4. Specific volume (or density) of steam</t>
  </si>
  <si>
    <t>waterprop.VSUB2(T; P)</t>
  </si>
  <si>
    <t xml:space="preserve">273.16 K &lt; T &lt; 1073.15 K </t>
  </si>
  <si>
    <t>0 &lt; p &lt; vapor pressure</t>
  </si>
  <si>
    <t>Specific volume of saturated vapor at 5 bar</t>
  </si>
  <si>
    <t>Note the use of BOILP for determining the boiling point</t>
  </si>
  <si>
    <t>=waterprop.VSUB2(waterprop.BOILP(5);5)</t>
  </si>
  <si>
    <r>
      <t>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/kg</t>
    </r>
  </si>
  <si>
    <t>5. Specific enthalpy of liquid water</t>
  </si>
  <si>
    <t>waterprop.HSUB1(T; P)</t>
  </si>
  <si>
    <t>specific enthalpy in kJ/kg</t>
  </si>
  <si>
    <t>Enthalpy of water at 20 °C and 1 bar</t>
  </si>
  <si>
    <t xml:space="preserve"> =waterprop.HSUB1(293.15; 1)</t>
  </si>
  <si>
    <t>kJ/kg</t>
  </si>
  <si>
    <t>6. Specific enthalpy of steam</t>
  </si>
  <si>
    <t>waterprop.HSUB2(T; P)</t>
  </si>
  <si>
    <t>Enthalpy of saturated vapor at 5 bar</t>
  </si>
  <si>
    <t>=waterprop.HSUB2(waterprop.BOILP(5);5)</t>
  </si>
  <si>
    <t>7. Heat capacity</t>
  </si>
  <si>
    <t>waterprop.HCAP(T; P; IAG)</t>
  </si>
  <si>
    <t>IAG</t>
  </si>
  <si>
    <t>state: 1 for liquid water, 2 for steam</t>
  </si>
  <si>
    <t>heat capacity in kJ/(kg K)</t>
  </si>
  <si>
    <t>0 &lt; p &lt; 1000 bar</t>
  </si>
  <si>
    <t>Heat capacity of water at 20 °C and 1 bar</t>
  </si>
  <si>
    <t xml:space="preserve"> =waterprop.HCAP(293.15;1;1)</t>
  </si>
  <si>
    <t>kJ/(kg K)</t>
  </si>
  <si>
    <t>8. Dynamic viscosity</t>
  </si>
  <si>
    <t>waterprop.ETAF(T; V)</t>
  </si>
  <si>
    <t>V</t>
  </si>
  <si>
    <t>specific volume in m3/kg</t>
  </si>
  <si>
    <r>
      <t>dynamic viscosity in 10</t>
    </r>
    <r>
      <rPr>
        <vertAlign val="superscript"/>
        <sz val="10"/>
        <rFont val="Arial"/>
        <family val="2"/>
      </rPr>
      <t>-6</t>
    </r>
    <r>
      <rPr>
        <sz val="10"/>
        <rFont val="Arial"/>
        <family val="2"/>
      </rPr>
      <t xml:space="preserve"> Pa s</t>
    </r>
  </si>
  <si>
    <t>0 °C &lt; T &lt; 800 °C</t>
  </si>
  <si>
    <t>p &lt; 1000 bar</t>
  </si>
  <si>
    <t>Viscosity of water at 20 °C and 1 bar</t>
  </si>
  <si>
    <t xml:space="preserve"> =waterprop.ETAF(293.15; waterprop.VSUB1(293.15;1))</t>
  </si>
  <si>
    <t>Pa s</t>
  </si>
  <si>
    <t>9. Thermal conductivity</t>
  </si>
  <si>
    <t>waterprop.TCON(T; V)</t>
  </si>
  <si>
    <t>thermal conductivity W /(K m)</t>
  </si>
  <si>
    <t>0 °C &lt; T &lt; 1500 °C</t>
  </si>
  <si>
    <t>p &lt; 3000 bar</t>
  </si>
  <si>
    <t>Thermal conductivity of saturated vapor at 5 bar</t>
  </si>
  <si>
    <t xml:space="preserve"> =waterprop.TCON(BOILP(5); waterprop.VSUB2(BOILP(5);5))</t>
  </si>
  <si>
    <t>W/(K m)</t>
  </si>
  <si>
    <t>hf</t>
  </si>
  <si>
    <t>hg</t>
  </si>
  <si>
    <t>hfg</t>
  </si>
  <si>
    <t>sf</t>
  </si>
  <si>
    <t>sfg</t>
  </si>
  <si>
    <t>sg</t>
  </si>
  <si>
    <t>uf</t>
  </si>
  <si>
    <t>MWh</t>
  </si>
  <si>
    <t>kg</t>
  </si>
  <si>
    <t>No. 1</t>
  </si>
  <si>
    <t>No. 2</t>
  </si>
  <si>
    <t>Tsat (deg-C)</t>
  </si>
  <si>
    <t>P (bar-a)</t>
  </si>
  <si>
    <t>T (deg-C)</t>
  </si>
  <si>
    <t>Psat (bar-a)</t>
  </si>
  <si>
    <t>No. 3</t>
  </si>
  <si>
    <t>Psat =</t>
  </si>
  <si>
    <t>Fasa =</t>
  </si>
  <si>
    <t>COMPRESSED WATER</t>
  </si>
  <si>
    <t>No. 4</t>
  </si>
  <si>
    <t>2 FASA</t>
  </si>
  <si>
    <t>No. 5</t>
  </si>
  <si>
    <t>uf = hf -pv</t>
  </si>
  <si>
    <t>=B29-vapp(A29+273.15)*VSUB1(A29+273.15,vapp(A29+273.15))*100</t>
  </si>
  <si>
    <t>No. 6</t>
  </si>
  <si>
    <t>FASA =</t>
  </si>
  <si>
    <t>Tsat =</t>
  </si>
  <si>
    <t>deg-C</t>
  </si>
  <si>
    <t>COMPRESSED LIQUID</t>
  </si>
  <si>
    <t>h =</t>
  </si>
  <si>
    <t>hf =</t>
  </si>
  <si>
    <t>No. 7</t>
  </si>
  <si>
    <t>hg =</t>
  </si>
  <si>
    <t>No. 8</t>
  </si>
  <si>
    <t>s =</t>
  </si>
  <si>
    <t>=(B39-0)/(((B36+273.15)+(0+273.15))/2)</t>
  </si>
  <si>
    <t>sf =</t>
  </si>
  <si>
    <t>No. 9</t>
  </si>
  <si>
    <t>sfg =</t>
  </si>
  <si>
    <t>sg =</t>
  </si>
  <si>
    <t>=(hsub1(D60+273.15,B60)-0)/((D60+273.15+(0+273.15))/2)</t>
  </si>
  <si>
    <t>=(hsub2(D60+273.15,B60)-hsub1(D60+273.15,B60))/(D60+273.15)</t>
  </si>
  <si>
    <t>s superheat =</t>
  </si>
  <si>
    <t>=B62+B63</t>
  </si>
  <si>
    <t>=(hsub2(B59+273.15,B60)-(hsub2(D60+273.15,B60)))/(((B59+273.15)+(D60+273.15))/2)</t>
  </si>
  <si>
    <t>=B64+B65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</si>
</sst>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"/>
    <numFmt numFmtId="165" formatCode="0.0"/>
    <numFmt numFmtId="166" formatCode="0.0000"/>
    <numFmt numFmtId="167" formatCode="0.000E+00"/>
  </numFmts>
  <fonts count="12" x14ac:knownFonts="1">
    <font>
      <sz val="10"/>
      <name val="Arial"/>
    </font>
    <font>
      <b/>
      <sz val="14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12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1" fillId="0" borderId="0" applyFont="0" applyFill="0" applyBorder="0" applyAlignment="0" applyProtection="0"/>
  </cellStyleXfs>
  <cellXfs count="2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wrapText="1"/>
    </xf>
    <xf numFmtId="0" fontId="6" fillId="0" borderId="0" xfId="0" applyFont="1"/>
    <xf numFmtId="49" fontId="3" fillId="0" borderId="0" xfId="0" applyNumberFormat="1" applyFont="1"/>
    <xf numFmtId="0" fontId="7" fillId="0" borderId="0" xfId="0" applyFont="1"/>
    <xf numFmtId="2" fontId="8" fillId="0" borderId="0" xfId="0" applyNumberFormat="1" applyFont="1"/>
    <xf numFmtId="164" fontId="8" fillId="0" borderId="0" xfId="0" applyNumberFormat="1" applyFont="1"/>
    <xf numFmtId="165" fontId="8" fillId="0" borderId="0" xfId="0" applyNumberFormat="1" applyFont="1"/>
    <xf numFmtId="166" fontId="8" fillId="0" borderId="0" xfId="0" applyNumberFormat="1" applyFont="1"/>
    <xf numFmtId="167" fontId="8" fillId="0" borderId="0" xfId="0" applyNumberFormat="1" applyFont="1"/>
    <xf numFmtId="0" fontId="2" fillId="0" borderId="0" xfId="0" applyFont="1"/>
    <xf numFmtId="0" fontId="2" fillId="0" borderId="0" xfId="0" applyFont="1" applyAlignment="1">
      <alignment wrapText="1"/>
    </xf>
    <xf numFmtId="0" fontId="9" fillId="2" borderId="0" xfId="0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4" fillId="0" borderId="0" xfId="0" applyFont="1" applyAlignment="1">
      <alignment horizontal="centerContinuous" wrapText="1"/>
    </xf>
    <xf numFmtId="0" fontId="2" fillId="0" borderId="0" xfId="0" applyFont="1" applyAlignment="1">
      <alignment horizontal="centerContinuous" wrapText="1"/>
    </xf>
    <xf numFmtId="0" fontId="1" fillId="2" borderId="0" xfId="0" applyFont="1" applyFill="1" applyAlignment="1">
      <alignment horizontal="centerContinuous"/>
    </xf>
    <xf numFmtId="49" fontId="3" fillId="0" borderId="0" xfId="0" applyNumberFormat="1" applyFont="1" applyAlignment="1">
      <alignment horizontal="centerContinuous"/>
    </xf>
    <xf numFmtId="0" fontId="10" fillId="0" borderId="0" xfId="0" applyFont="1"/>
    <xf numFmtId="0" fontId="2" fillId="0" borderId="0" xfId="0" quotePrefix="1" applyFont="1"/>
    <xf numFmtId="43" fontId="0" fillId="0" borderId="0" xfId="1" applyFont="1"/>
    <xf numFmtId="43" fontId="0" fillId="0" borderId="0" xfId="0" applyNumberFormat="1"/>
    <xf numFmtId="166" fontId="0" fillId="0" borderId="0" xfId="0" applyNumberFormat="1"/>
    <xf numFmtId="2" fontId="0" fillId="0" borderId="0" xfId="0" applyNumberFormat="1"/>
    <xf numFmtId="0" fontId="0" fillId="0" borderId="0" xfId="0" quotePrefix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Nenny%20Saptadji/Application%20Data/Microsoft/AddIns/Steamprog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"/>
      <sheetName val="Usage"/>
      <sheetName val="Reference"/>
      <sheetName val="waterprop"/>
      <sheetName val="Steamprog"/>
    </sheetNames>
    <definedNames>
      <definedName name="BOILP"/>
      <definedName name="waterprop.BOILP"/>
      <definedName name="waterprop.ETAF"/>
      <definedName name="waterprop.HCAP"/>
      <definedName name="waterprop.HSUB1"/>
      <definedName name="waterprop.HSUB2"/>
      <definedName name="waterprop.TCON"/>
      <definedName name="waterprop.VAPP"/>
      <definedName name="waterprop.VSUB1"/>
      <definedName name="waterprop.VSUB2"/>
    </defined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showGridLines="0" topLeftCell="A22" zoomScale="175" zoomScaleNormal="175" workbookViewId="0">
      <selection activeCell="H19" sqref="H19"/>
    </sheetView>
  </sheetViews>
  <sheetFormatPr defaultColWidth="11.453125" defaultRowHeight="12.5" x14ac:dyDescent="0.25"/>
  <sheetData>
    <row r="1" spans="1:7" ht="18" x14ac:dyDescent="0.4">
      <c r="A1" s="20" t="s">
        <v>0</v>
      </c>
      <c r="B1" s="17"/>
      <c r="C1" s="17"/>
      <c r="D1" s="17"/>
      <c r="E1" s="17"/>
      <c r="F1" s="17"/>
      <c r="G1" s="17"/>
    </row>
    <row r="2" spans="1:7" ht="18" x14ac:dyDescent="0.4">
      <c r="A2" s="1"/>
    </row>
    <row r="3" spans="1:7" x14ac:dyDescent="0.25">
      <c r="A3" s="2" t="s">
        <v>1</v>
      </c>
      <c r="B3" t="s">
        <v>2</v>
      </c>
    </row>
    <row r="4" spans="1:7" x14ac:dyDescent="0.25">
      <c r="A4" s="2" t="s">
        <v>3</v>
      </c>
      <c r="B4" t="s">
        <v>4</v>
      </c>
    </row>
    <row r="5" spans="1:7" x14ac:dyDescent="0.25">
      <c r="A5" s="2" t="s">
        <v>5</v>
      </c>
      <c r="B5" t="s">
        <v>6</v>
      </c>
    </row>
    <row r="6" spans="1:7" x14ac:dyDescent="0.25">
      <c r="A6" s="2"/>
    </row>
    <row r="7" spans="1:7" x14ac:dyDescent="0.25">
      <c r="A7" s="4" t="s">
        <v>7</v>
      </c>
    </row>
    <row r="8" spans="1:7" x14ac:dyDescent="0.25">
      <c r="A8" s="4" t="s">
        <v>8</v>
      </c>
    </row>
    <row r="9" spans="1:7" x14ac:dyDescent="0.25">
      <c r="A9" s="4" t="s">
        <v>9</v>
      </c>
    </row>
    <row r="10" spans="1:7" x14ac:dyDescent="0.25">
      <c r="A10" s="4"/>
    </row>
    <row r="11" spans="1:7" s="14" customFormat="1" x14ac:dyDescent="0.25">
      <c r="A11" s="14" t="s">
        <v>10</v>
      </c>
      <c r="B11" s="15"/>
      <c r="C11" s="15"/>
      <c r="D11" s="15"/>
      <c r="E11" s="15"/>
      <c r="F11" s="15"/>
      <c r="G11" s="15"/>
    </row>
    <row r="12" spans="1:7" s="14" customFormat="1" x14ac:dyDescent="0.25">
      <c r="A12" s="14" t="s">
        <v>11</v>
      </c>
      <c r="B12" s="15"/>
      <c r="C12" s="15"/>
      <c r="D12" s="15"/>
      <c r="E12" s="15"/>
      <c r="F12" s="15"/>
      <c r="G12" s="15"/>
    </row>
    <row r="13" spans="1:7" s="14" customFormat="1" x14ac:dyDescent="0.25">
      <c r="A13" s="14" t="s">
        <v>12</v>
      </c>
      <c r="B13" s="15"/>
      <c r="C13" s="15"/>
      <c r="D13" s="15"/>
      <c r="E13" s="15"/>
      <c r="F13" s="15"/>
      <c r="G13" s="15"/>
    </row>
    <row r="14" spans="1:7" s="14" customFormat="1" x14ac:dyDescent="0.25">
      <c r="A14" s="14" t="s">
        <v>13</v>
      </c>
      <c r="B14" s="15"/>
      <c r="C14" s="15"/>
      <c r="D14" s="15"/>
      <c r="E14" s="15"/>
      <c r="F14" s="15"/>
      <c r="G14" s="15"/>
    </row>
    <row r="15" spans="1:7" x14ac:dyDescent="0.25">
      <c r="A15" s="4"/>
      <c r="B15" s="5"/>
      <c r="C15" s="5"/>
      <c r="D15" s="5"/>
      <c r="E15" s="5"/>
      <c r="F15" s="5"/>
      <c r="G15" s="5"/>
    </row>
    <row r="16" spans="1:7" s="14" customFormat="1" ht="13" x14ac:dyDescent="0.3">
      <c r="A16" s="14" t="s">
        <v>14</v>
      </c>
      <c r="B16" s="15"/>
      <c r="C16" s="15"/>
      <c r="D16" s="15"/>
      <c r="E16" s="15"/>
      <c r="F16" s="15"/>
      <c r="G16" s="15"/>
    </row>
    <row r="17" spans="1:9" s="14" customFormat="1" ht="13" x14ac:dyDescent="0.3">
      <c r="A17" s="14" t="s">
        <v>15</v>
      </c>
      <c r="B17" s="15"/>
      <c r="C17" s="15"/>
      <c r="D17" s="15"/>
      <c r="E17" s="15"/>
      <c r="F17" s="15"/>
      <c r="G17" s="15"/>
    </row>
    <row r="18" spans="1:9" s="14" customFormat="1" x14ac:dyDescent="0.25">
      <c r="B18" s="15"/>
      <c r="C18" s="15"/>
      <c r="D18" s="15"/>
      <c r="E18" s="15"/>
      <c r="F18" s="15"/>
      <c r="G18" s="15"/>
    </row>
    <row r="19" spans="1:9" s="14" customFormat="1" x14ac:dyDescent="0.25">
      <c r="A19" s="14" t="s">
        <v>16</v>
      </c>
      <c r="B19" s="15"/>
      <c r="C19" s="15"/>
      <c r="D19" s="15"/>
      <c r="E19" s="15"/>
      <c r="F19" s="15"/>
      <c r="G19" s="15"/>
    </row>
    <row r="20" spans="1:9" s="14" customFormat="1" x14ac:dyDescent="0.25">
      <c r="A20" s="14" t="s">
        <v>17</v>
      </c>
      <c r="B20" s="15"/>
      <c r="C20" s="15"/>
      <c r="D20" s="15"/>
      <c r="E20" s="15"/>
      <c r="F20" s="15"/>
      <c r="G20" s="15"/>
    </row>
    <row r="21" spans="1:9" s="14" customFormat="1" x14ac:dyDescent="0.25">
      <c r="B21" s="15"/>
      <c r="C21" s="15"/>
      <c r="D21" s="15"/>
      <c r="E21" s="15"/>
      <c r="F21" s="15"/>
      <c r="G21" s="15"/>
      <c r="H21" s="15"/>
      <c r="I21" s="15"/>
    </row>
    <row r="22" spans="1:9" s="14" customFormat="1" x14ac:dyDescent="0.25">
      <c r="A22" s="14" t="s">
        <v>18</v>
      </c>
      <c r="B22" s="15"/>
      <c r="C22" s="15"/>
      <c r="D22" s="15"/>
      <c r="E22" s="15"/>
      <c r="F22" s="15"/>
      <c r="G22" s="15"/>
      <c r="H22" s="15"/>
      <c r="I22" s="15"/>
    </row>
    <row r="23" spans="1:9" s="14" customFormat="1" x14ac:dyDescent="0.25">
      <c r="A23" s="14" t="s">
        <v>19</v>
      </c>
      <c r="B23" s="15"/>
      <c r="C23" s="15"/>
      <c r="D23" s="15"/>
      <c r="E23" s="15"/>
      <c r="F23" s="15"/>
      <c r="G23" s="15"/>
      <c r="H23" s="15"/>
      <c r="I23" s="15"/>
    </row>
    <row r="24" spans="1:9" s="14" customFormat="1" x14ac:dyDescent="0.25">
      <c r="A24" s="14" t="s">
        <v>20</v>
      </c>
      <c r="B24" s="15"/>
      <c r="C24" s="15"/>
      <c r="D24" s="15"/>
      <c r="E24" s="15"/>
      <c r="F24" s="15"/>
      <c r="G24" s="15"/>
      <c r="H24" s="15"/>
      <c r="I24" s="15"/>
    </row>
  </sheetData>
  <sheetProtection password="D68A" sheet="1" objects="1" scenarios="1"/>
  <phoneticPr fontId="0" type="noConversion"/>
  <printOptions gridLinesSet="0"/>
  <pageMargins left="0.75" right="0.75" top="1" bottom="1" header="0.51181102300000003" footer="0.51181102300000003"/>
  <pageSetup paperSize="9" orientation="portrait" horizontalDpi="300" verticalDpi="300" r:id="rId1"/>
  <headerFooter alignWithMargins="0">
    <oddHeader>&amp;A</oddHeader>
    <oddFooter>Seite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6"/>
  <sheetViews>
    <sheetView showGridLines="0" workbookViewId="0">
      <selection activeCell="C10" sqref="C10"/>
    </sheetView>
  </sheetViews>
  <sheetFormatPr defaultColWidth="11.453125" defaultRowHeight="12.5" x14ac:dyDescent="0.25"/>
  <cols>
    <col min="1" max="7" width="11.453125" style="17" customWidth="1"/>
  </cols>
  <sheetData>
    <row r="1" spans="1:9" ht="15.5" x14ac:dyDescent="0.35">
      <c r="A1" s="16" t="s">
        <v>21</v>
      </c>
    </row>
    <row r="2" spans="1:9" s="4" customFormat="1" ht="10" x14ac:dyDescent="0.2">
      <c r="A2" s="18"/>
      <c r="B2" s="18"/>
      <c r="C2" s="18"/>
      <c r="D2" s="18"/>
      <c r="E2" s="18"/>
      <c r="F2" s="18"/>
      <c r="G2" s="18"/>
      <c r="H2" s="5"/>
      <c r="I2" s="5"/>
    </row>
    <row r="3" spans="1:9" s="4" customFormat="1" x14ac:dyDescent="0.25">
      <c r="A3" s="14" t="s">
        <v>22</v>
      </c>
      <c r="B3" s="18"/>
      <c r="C3" s="18"/>
      <c r="D3" s="18"/>
      <c r="E3" s="18"/>
      <c r="F3" s="18"/>
      <c r="G3" s="18"/>
      <c r="H3" s="5"/>
      <c r="I3" s="5"/>
    </row>
    <row r="4" spans="1:9" s="4" customFormat="1" x14ac:dyDescent="0.25">
      <c r="A4" s="14"/>
      <c r="B4" s="18"/>
      <c r="C4" s="18"/>
      <c r="D4" s="18"/>
      <c r="E4" s="18"/>
      <c r="F4" s="18"/>
      <c r="G4" s="18"/>
      <c r="H4" s="5"/>
      <c r="I4" s="5"/>
    </row>
    <row r="5" spans="1:9" s="4" customFormat="1" ht="13" x14ac:dyDescent="0.3">
      <c r="A5" s="21" t="s">
        <v>23</v>
      </c>
      <c r="B5" s="19"/>
      <c r="C5" s="19"/>
      <c r="D5" s="19"/>
      <c r="E5" s="19"/>
      <c r="F5" s="19"/>
      <c r="G5" s="19"/>
      <c r="H5" s="5"/>
      <c r="I5" s="5"/>
    </row>
    <row r="6" spans="1:9" s="4" customFormat="1" ht="13" x14ac:dyDescent="0.3">
      <c r="A6" s="21"/>
      <c r="B6" s="19"/>
      <c r="C6" s="19"/>
      <c r="D6" s="19"/>
      <c r="E6" s="19"/>
      <c r="F6" s="19"/>
      <c r="G6" s="19"/>
      <c r="H6" s="5"/>
      <c r="I6" s="5"/>
    </row>
    <row r="7" spans="1:9" s="4" customFormat="1" ht="13" x14ac:dyDescent="0.3">
      <c r="A7" s="14" t="s">
        <v>24</v>
      </c>
      <c r="B7" s="22" t="s">
        <v>25</v>
      </c>
      <c r="C7" s="15"/>
      <c r="D7" s="15"/>
      <c r="E7" s="15"/>
      <c r="F7" s="15"/>
      <c r="G7" s="15"/>
      <c r="H7" s="5"/>
      <c r="I7" s="5"/>
    </row>
    <row r="8" spans="1:9" s="4" customFormat="1" ht="13" x14ac:dyDescent="0.3">
      <c r="A8" t="s">
        <v>26</v>
      </c>
      <c r="B8" s="22" t="s">
        <v>27</v>
      </c>
      <c r="C8" s="15"/>
      <c r="D8" s="15"/>
      <c r="E8" s="15"/>
      <c r="F8" s="15"/>
      <c r="G8" s="15"/>
      <c r="H8" s="5"/>
      <c r="I8" s="5"/>
    </row>
    <row r="9" spans="1:9" s="4" customFormat="1" ht="13" x14ac:dyDescent="0.3">
      <c r="A9"/>
      <c r="B9" s="22"/>
      <c r="C9" s="15"/>
      <c r="D9" s="15"/>
      <c r="E9" s="15"/>
      <c r="F9" s="15"/>
      <c r="G9" s="15"/>
      <c r="H9" s="5"/>
      <c r="I9" s="5"/>
    </row>
    <row r="10" spans="1:9" s="4" customFormat="1" ht="13" x14ac:dyDescent="0.3">
      <c r="A10" s="14" t="s">
        <v>28</v>
      </c>
      <c r="B10" s="15"/>
      <c r="C10" s="15"/>
      <c r="D10" s="15"/>
      <c r="E10" s="15"/>
      <c r="F10" s="15"/>
      <c r="G10" s="15"/>
      <c r="H10" s="5"/>
      <c r="I10" s="5"/>
    </row>
    <row r="11" spans="1:9" s="4" customFormat="1" x14ac:dyDescent="0.25">
      <c r="A11" s="14" t="s">
        <v>29</v>
      </c>
      <c r="B11" s="15"/>
      <c r="C11" s="15"/>
      <c r="D11" s="15"/>
      <c r="E11" s="15"/>
      <c r="F11" s="15"/>
      <c r="G11" s="15"/>
      <c r="H11" s="5"/>
      <c r="I11" s="5"/>
    </row>
    <row r="12" spans="1:9" s="4" customFormat="1" x14ac:dyDescent="0.25">
      <c r="A12"/>
      <c r="B12" s="19"/>
      <c r="C12" s="19"/>
      <c r="D12" s="19"/>
      <c r="E12" s="19"/>
      <c r="F12" s="19"/>
      <c r="G12" s="19"/>
      <c r="H12" s="5"/>
      <c r="I12" s="5"/>
    </row>
    <row r="13" spans="1:9" s="4" customFormat="1" ht="13" x14ac:dyDescent="0.3">
      <c r="A13" s="21" t="s">
        <v>30</v>
      </c>
      <c r="B13" s="19"/>
      <c r="C13" s="19"/>
      <c r="D13" s="19"/>
      <c r="E13" s="19"/>
      <c r="F13" s="19"/>
      <c r="G13" s="19"/>
      <c r="H13" s="5"/>
      <c r="I13" s="5"/>
    </row>
    <row r="14" spans="1:9" s="4" customFormat="1" ht="13" x14ac:dyDescent="0.3">
      <c r="A14" s="21"/>
      <c r="B14" s="19"/>
      <c r="C14" s="19"/>
      <c r="D14" s="19"/>
      <c r="E14" s="19"/>
      <c r="F14" s="19"/>
      <c r="G14" s="19"/>
      <c r="H14" s="5"/>
      <c r="I14" s="5"/>
    </row>
    <row r="15" spans="1:9" x14ac:dyDescent="0.25">
      <c r="A15"/>
      <c r="B15"/>
      <c r="C15"/>
      <c r="D15"/>
      <c r="E15"/>
      <c r="F15"/>
      <c r="G15"/>
    </row>
    <row r="16" spans="1:9" x14ac:dyDescent="0.25">
      <c r="A16"/>
      <c r="B16"/>
      <c r="C16"/>
      <c r="D16"/>
      <c r="E16"/>
      <c r="F16"/>
      <c r="G16"/>
    </row>
  </sheetData>
  <sheetProtection password="D68A" sheet="1" objects="1" scenarios="1"/>
  <phoneticPr fontId="0" type="noConversion"/>
  <printOptions gridLinesSet="0"/>
  <pageMargins left="0.75" right="0.75" top="1" bottom="1" header="0.51181102300000003" footer="0.51181102300000003"/>
  <pageSetup paperSize="9" orientation="portrait" horizontalDpi="300" verticalDpi="300" r:id="rId1"/>
  <headerFooter alignWithMargins="0">
    <oddHeader>&amp;A</oddHeader>
    <oddFooter>Seite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I146"/>
  <sheetViews>
    <sheetView showGridLines="0" topLeftCell="A88" zoomScale="130" zoomScaleNormal="130" workbookViewId="0">
      <selection activeCell="A49" sqref="A49"/>
    </sheetView>
  </sheetViews>
  <sheetFormatPr defaultColWidth="11.453125" defaultRowHeight="12.5" x14ac:dyDescent="0.25"/>
  <sheetData>
    <row r="1" spans="1:9" ht="15.5" x14ac:dyDescent="0.35">
      <c r="A1" s="16" t="s">
        <v>31</v>
      </c>
      <c r="B1" s="17"/>
      <c r="C1" s="17"/>
      <c r="D1" s="17"/>
      <c r="E1" s="17"/>
      <c r="F1" s="17"/>
      <c r="G1" s="17"/>
    </row>
    <row r="2" spans="1:9" x14ac:dyDescent="0.25">
      <c r="A2" s="4"/>
    </row>
    <row r="3" spans="1:9" s="4" customFormat="1" x14ac:dyDescent="0.25">
      <c r="A3" t="s">
        <v>32</v>
      </c>
      <c r="B3"/>
      <c r="C3"/>
      <c r="D3"/>
      <c r="E3"/>
      <c r="F3"/>
      <c r="G3" s="5"/>
      <c r="H3" s="5"/>
      <c r="I3" s="5"/>
    </row>
    <row r="4" spans="1:9" s="4" customFormat="1" x14ac:dyDescent="0.25">
      <c r="A4"/>
      <c r="B4"/>
      <c r="C4"/>
      <c r="D4"/>
      <c r="E4"/>
      <c r="F4"/>
    </row>
    <row r="5" spans="1:9" s="4" customFormat="1" ht="13" x14ac:dyDescent="0.3">
      <c r="A5" s="8" t="s">
        <v>33</v>
      </c>
      <c r="B5"/>
      <c r="C5"/>
      <c r="D5"/>
      <c r="E5"/>
      <c r="F5"/>
    </row>
    <row r="6" spans="1:9" s="4" customFormat="1" x14ac:dyDescent="0.25">
      <c r="A6"/>
      <c r="B6"/>
      <c r="C6"/>
      <c r="D6"/>
      <c r="E6"/>
      <c r="F6"/>
    </row>
    <row r="7" spans="1:9" s="4" customFormat="1" ht="13" x14ac:dyDescent="0.3">
      <c r="A7" t="s">
        <v>34</v>
      </c>
      <c r="B7"/>
      <c r="C7" s="7" t="s">
        <v>35</v>
      </c>
      <c r="D7"/>
      <c r="E7"/>
      <c r="F7"/>
    </row>
    <row r="8" spans="1:9" s="4" customFormat="1" x14ac:dyDescent="0.25">
      <c r="A8"/>
      <c r="B8"/>
      <c r="C8"/>
      <c r="D8"/>
      <c r="E8"/>
      <c r="F8"/>
    </row>
    <row r="9" spans="1:9" s="4" customFormat="1" x14ac:dyDescent="0.25">
      <c r="A9" t="s">
        <v>36</v>
      </c>
      <c r="B9"/>
      <c r="C9" t="s">
        <v>37</v>
      </c>
      <c r="D9" t="s">
        <v>38</v>
      </c>
      <c r="E9"/>
      <c r="F9"/>
    </row>
    <row r="10" spans="1:9" s="4" customFormat="1" x14ac:dyDescent="0.25">
      <c r="A10"/>
      <c r="B10"/>
      <c r="C10"/>
      <c r="D10"/>
      <c r="E10"/>
      <c r="F10"/>
    </row>
    <row r="11" spans="1:9" s="4" customFormat="1" x14ac:dyDescent="0.25">
      <c r="A11" t="s">
        <v>39</v>
      </c>
      <c r="B11"/>
      <c r="C11" t="s">
        <v>40</v>
      </c>
      <c r="D11"/>
      <c r="E11"/>
      <c r="F11"/>
    </row>
    <row r="13" spans="1:9" x14ac:dyDescent="0.25">
      <c r="A13" t="s">
        <v>41</v>
      </c>
      <c r="C13" t="s">
        <v>42</v>
      </c>
    </row>
    <row r="15" spans="1:9" x14ac:dyDescent="0.25">
      <c r="A15" t="s">
        <v>43</v>
      </c>
      <c r="C15" t="s">
        <v>44</v>
      </c>
    </row>
    <row r="16" spans="1:9" ht="13" x14ac:dyDescent="0.3">
      <c r="C16" t="s">
        <v>45</v>
      </c>
      <c r="F16" s="7" t="s">
        <v>46</v>
      </c>
    </row>
    <row r="17" spans="1:7" x14ac:dyDescent="0.25">
      <c r="C17" t="s">
        <v>47</v>
      </c>
      <c r="F17" s="9" t="e">
        <f ca="1">[1]!waterprop.BOILP(1)-273.15</f>
        <v>#NAME?</v>
      </c>
      <c r="G17" t="s">
        <v>48</v>
      </c>
    </row>
    <row r="18" spans="1:7" x14ac:dyDescent="0.25">
      <c r="F18" s="6"/>
    </row>
    <row r="19" spans="1:7" ht="13" x14ac:dyDescent="0.3">
      <c r="A19" s="8" t="s">
        <v>49</v>
      </c>
    </row>
    <row r="21" spans="1:7" ht="13" x14ac:dyDescent="0.3">
      <c r="A21" t="s">
        <v>34</v>
      </c>
      <c r="C21" s="3" t="s">
        <v>50</v>
      </c>
    </row>
    <row r="23" spans="1:7" x14ac:dyDescent="0.25">
      <c r="A23" t="s">
        <v>36</v>
      </c>
      <c r="C23" t="s">
        <v>51</v>
      </c>
      <c r="D23" t="s">
        <v>52</v>
      </c>
    </row>
    <row r="25" spans="1:7" x14ac:dyDescent="0.25">
      <c r="A25" t="s">
        <v>39</v>
      </c>
      <c r="C25" t="s">
        <v>53</v>
      </c>
    </row>
    <row r="27" spans="1:7" x14ac:dyDescent="0.25">
      <c r="A27" t="s">
        <v>41</v>
      </c>
      <c r="C27" t="s">
        <v>54</v>
      </c>
    </row>
    <row r="29" spans="1:7" x14ac:dyDescent="0.25">
      <c r="A29" t="s">
        <v>43</v>
      </c>
      <c r="C29" t="s">
        <v>55</v>
      </c>
    </row>
    <row r="30" spans="1:7" ht="13" x14ac:dyDescent="0.3">
      <c r="C30" t="s">
        <v>45</v>
      </c>
      <c r="F30" s="7" t="s">
        <v>56</v>
      </c>
    </row>
    <row r="31" spans="1:7" x14ac:dyDescent="0.25">
      <c r="C31" t="s">
        <v>47</v>
      </c>
      <c r="F31" s="10" t="e">
        <f ca="1">[1]!waterprop.VAPP(373.15)</f>
        <v>#NAME?</v>
      </c>
      <c r="G31" t="s">
        <v>57</v>
      </c>
    </row>
    <row r="33" spans="1:7" ht="13" x14ac:dyDescent="0.3">
      <c r="A33" s="8" t="s">
        <v>58</v>
      </c>
    </row>
    <row r="35" spans="1:7" ht="13" x14ac:dyDescent="0.3">
      <c r="A35" t="s">
        <v>34</v>
      </c>
      <c r="C35" s="3" t="s">
        <v>59</v>
      </c>
    </row>
    <row r="37" spans="1:7" x14ac:dyDescent="0.25">
      <c r="A37" t="s">
        <v>36</v>
      </c>
      <c r="C37" t="s">
        <v>60</v>
      </c>
      <c r="D37" t="s">
        <v>52</v>
      </c>
    </row>
    <row r="38" spans="1:7" x14ac:dyDescent="0.25">
      <c r="C38" t="s">
        <v>37</v>
      </c>
      <c r="D38" t="s">
        <v>38</v>
      </c>
    </row>
    <row r="40" spans="1:7" ht="14.5" x14ac:dyDescent="0.25">
      <c r="A40" t="s">
        <v>39</v>
      </c>
      <c r="C40" t="s">
        <v>61</v>
      </c>
    </row>
    <row r="42" spans="1:7" x14ac:dyDescent="0.25">
      <c r="A42" t="s">
        <v>41</v>
      </c>
      <c r="C42" t="s">
        <v>62</v>
      </c>
    </row>
    <row r="43" spans="1:7" x14ac:dyDescent="0.25">
      <c r="C43" t="s">
        <v>63</v>
      </c>
    </row>
    <row r="45" spans="1:7" x14ac:dyDescent="0.25">
      <c r="A45" t="s">
        <v>43</v>
      </c>
      <c r="C45" t="s">
        <v>64</v>
      </c>
    </row>
    <row r="46" spans="1:7" ht="13" x14ac:dyDescent="0.3">
      <c r="C46" t="s">
        <v>45</v>
      </c>
      <c r="F46" s="7" t="s">
        <v>65</v>
      </c>
    </row>
    <row r="47" spans="1:7" ht="14.5" x14ac:dyDescent="0.25">
      <c r="C47" t="s">
        <v>47</v>
      </c>
      <c r="F47" s="11" t="e">
        <f ca="1">1/[1]!waterprop.VSUB1(293.15,1)</f>
        <v>#NAME?</v>
      </c>
      <c r="G47" t="s">
        <v>66</v>
      </c>
    </row>
    <row r="49" spans="1:7" ht="13" x14ac:dyDescent="0.3">
      <c r="A49" s="8" t="s">
        <v>67</v>
      </c>
    </row>
    <row r="51" spans="1:7" ht="13" x14ac:dyDescent="0.3">
      <c r="A51" t="s">
        <v>34</v>
      </c>
      <c r="C51" s="3" t="s">
        <v>68</v>
      </c>
    </row>
    <row r="53" spans="1:7" x14ac:dyDescent="0.25">
      <c r="A53" t="s">
        <v>36</v>
      </c>
      <c r="C53" t="s">
        <v>60</v>
      </c>
      <c r="D53" t="s">
        <v>52</v>
      </c>
    </row>
    <row r="54" spans="1:7" x14ac:dyDescent="0.25">
      <c r="C54" t="s">
        <v>37</v>
      </c>
      <c r="D54" t="s">
        <v>38</v>
      </c>
    </row>
    <row r="56" spans="1:7" ht="14.5" x14ac:dyDescent="0.25">
      <c r="A56" t="s">
        <v>39</v>
      </c>
      <c r="C56" t="s">
        <v>61</v>
      </c>
    </row>
    <row r="58" spans="1:7" x14ac:dyDescent="0.25">
      <c r="A58" t="s">
        <v>41</v>
      </c>
      <c r="C58" t="s">
        <v>69</v>
      </c>
    </row>
    <row r="59" spans="1:7" x14ac:dyDescent="0.25">
      <c r="C59" t="s">
        <v>70</v>
      </c>
    </row>
    <row r="61" spans="1:7" x14ac:dyDescent="0.25">
      <c r="A61" t="s">
        <v>43</v>
      </c>
      <c r="C61" t="s">
        <v>71</v>
      </c>
    </row>
    <row r="62" spans="1:7" x14ac:dyDescent="0.25">
      <c r="C62" t="s">
        <v>72</v>
      </c>
    </row>
    <row r="63" spans="1:7" ht="13" x14ac:dyDescent="0.3">
      <c r="C63" t="s">
        <v>45</v>
      </c>
      <c r="F63" s="7" t="s">
        <v>73</v>
      </c>
    </row>
    <row r="64" spans="1:7" ht="14.5" x14ac:dyDescent="0.25">
      <c r="C64" t="s">
        <v>47</v>
      </c>
      <c r="F64" s="12" t="e">
        <f ca="1">[1]!waterprop.VSUB2([1]!waterprop.BOILP(5),5)</f>
        <v>#NAME?</v>
      </c>
      <c r="G64" t="s">
        <v>74</v>
      </c>
    </row>
    <row r="66" spans="1:7" ht="13" x14ac:dyDescent="0.3">
      <c r="A66" s="8" t="s">
        <v>75</v>
      </c>
    </row>
    <row r="68" spans="1:7" ht="13" x14ac:dyDescent="0.3">
      <c r="A68" t="s">
        <v>34</v>
      </c>
      <c r="C68" s="3" t="s">
        <v>76</v>
      </c>
    </row>
    <row r="70" spans="1:7" x14ac:dyDescent="0.25">
      <c r="A70" t="s">
        <v>36</v>
      </c>
      <c r="C70" t="s">
        <v>60</v>
      </c>
      <c r="D70" t="s">
        <v>52</v>
      </c>
    </row>
    <row r="71" spans="1:7" x14ac:dyDescent="0.25">
      <c r="C71" t="s">
        <v>37</v>
      </c>
      <c r="D71" t="s">
        <v>38</v>
      </c>
    </row>
    <row r="73" spans="1:7" x14ac:dyDescent="0.25">
      <c r="A73" t="s">
        <v>39</v>
      </c>
      <c r="C73" t="s">
        <v>77</v>
      </c>
    </row>
    <row r="75" spans="1:7" x14ac:dyDescent="0.25">
      <c r="A75" t="s">
        <v>41</v>
      </c>
      <c r="C75" t="s">
        <v>62</v>
      </c>
    </row>
    <row r="76" spans="1:7" x14ac:dyDescent="0.25">
      <c r="C76" t="s">
        <v>63</v>
      </c>
    </row>
    <row r="78" spans="1:7" x14ac:dyDescent="0.25">
      <c r="A78" t="s">
        <v>43</v>
      </c>
      <c r="C78" t="s">
        <v>78</v>
      </c>
    </row>
    <row r="79" spans="1:7" ht="13" x14ac:dyDescent="0.3">
      <c r="C79" t="s">
        <v>45</v>
      </c>
      <c r="F79" s="3" t="s">
        <v>79</v>
      </c>
    </row>
    <row r="80" spans="1:7" x14ac:dyDescent="0.25">
      <c r="C80" t="s">
        <v>47</v>
      </c>
      <c r="F80" s="11" t="e">
        <f ca="1">[1]!waterprop.HSUB1(293.15,1)</f>
        <v>#NAME?</v>
      </c>
      <c r="G80" t="s">
        <v>80</v>
      </c>
    </row>
    <row r="82" spans="1:6" ht="13" x14ac:dyDescent="0.3">
      <c r="A82" s="8" t="s">
        <v>81</v>
      </c>
    </row>
    <row r="84" spans="1:6" ht="13" x14ac:dyDescent="0.3">
      <c r="A84" t="s">
        <v>34</v>
      </c>
      <c r="C84" s="3" t="s">
        <v>82</v>
      </c>
    </row>
    <row r="86" spans="1:6" x14ac:dyDescent="0.25">
      <c r="A86" t="s">
        <v>36</v>
      </c>
      <c r="C86" t="s">
        <v>60</v>
      </c>
      <c r="D86" t="s">
        <v>52</v>
      </c>
    </row>
    <row r="87" spans="1:6" x14ac:dyDescent="0.25">
      <c r="C87" t="s">
        <v>37</v>
      </c>
      <c r="D87" t="s">
        <v>38</v>
      </c>
    </row>
    <row r="89" spans="1:6" x14ac:dyDescent="0.25">
      <c r="A89" t="s">
        <v>39</v>
      </c>
      <c r="C89" t="s">
        <v>77</v>
      </c>
    </row>
    <row r="91" spans="1:6" x14ac:dyDescent="0.25">
      <c r="A91" t="s">
        <v>41</v>
      </c>
      <c r="C91" t="s">
        <v>69</v>
      </c>
    </row>
    <row r="92" spans="1:6" x14ac:dyDescent="0.25">
      <c r="C92" t="s">
        <v>70</v>
      </c>
    </row>
    <row r="94" spans="1:6" x14ac:dyDescent="0.25">
      <c r="A94" t="s">
        <v>43</v>
      </c>
      <c r="C94" t="s">
        <v>83</v>
      </c>
    </row>
    <row r="95" spans="1:6" x14ac:dyDescent="0.25">
      <c r="C95" t="s">
        <v>72</v>
      </c>
    </row>
    <row r="96" spans="1:6" ht="13" x14ac:dyDescent="0.3">
      <c r="C96" t="s">
        <v>45</v>
      </c>
      <c r="F96" s="7" t="s">
        <v>84</v>
      </c>
    </row>
    <row r="97" spans="1:7" x14ac:dyDescent="0.25">
      <c r="C97" t="s">
        <v>47</v>
      </c>
      <c r="F97" s="11" t="e">
        <f ca="1">[1]!waterprop.HSUB2([1]!waterprop.BOILP(5),5)</f>
        <v>#NAME?</v>
      </c>
      <c r="G97" t="s">
        <v>80</v>
      </c>
    </row>
    <row r="99" spans="1:7" ht="13" x14ac:dyDescent="0.3">
      <c r="A99" s="8" t="s">
        <v>85</v>
      </c>
    </row>
    <row r="101" spans="1:7" ht="13" x14ac:dyDescent="0.3">
      <c r="A101" t="s">
        <v>34</v>
      </c>
      <c r="C101" s="3" t="s">
        <v>86</v>
      </c>
    </row>
    <row r="103" spans="1:7" x14ac:dyDescent="0.25">
      <c r="A103" t="s">
        <v>36</v>
      </c>
      <c r="C103" t="s">
        <v>60</v>
      </c>
      <c r="D103" t="s">
        <v>52</v>
      </c>
    </row>
    <row r="104" spans="1:7" x14ac:dyDescent="0.25">
      <c r="C104" t="s">
        <v>37</v>
      </c>
      <c r="D104" t="s">
        <v>38</v>
      </c>
    </row>
    <row r="105" spans="1:7" x14ac:dyDescent="0.25">
      <c r="C105" t="s">
        <v>87</v>
      </c>
      <c r="D105" t="s">
        <v>88</v>
      </c>
    </row>
    <row r="107" spans="1:7" x14ac:dyDescent="0.25">
      <c r="A107" t="s">
        <v>39</v>
      </c>
      <c r="C107" t="s">
        <v>89</v>
      </c>
    </row>
    <row r="109" spans="1:7" x14ac:dyDescent="0.25">
      <c r="A109" t="s">
        <v>41</v>
      </c>
      <c r="C109" t="s">
        <v>69</v>
      </c>
    </row>
    <row r="110" spans="1:7" x14ac:dyDescent="0.25">
      <c r="C110" t="s">
        <v>90</v>
      </c>
    </row>
    <row r="112" spans="1:7" x14ac:dyDescent="0.25">
      <c r="A112" t="s">
        <v>43</v>
      </c>
      <c r="C112" t="s">
        <v>91</v>
      </c>
    </row>
    <row r="113" spans="1:7" ht="13" x14ac:dyDescent="0.3">
      <c r="C113" t="s">
        <v>45</v>
      </c>
      <c r="F113" s="7" t="s">
        <v>92</v>
      </c>
    </row>
    <row r="114" spans="1:7" x14ac:dyDescent="0.25">
      <c r="C114" t="s">
        <v>47</v>
      </c>
      <c r="F114" s="10" t="e">
        <f ca="1">[1]!waterprop.HCAP(293.15,1,1)</f>
        <v>#NAME?</v>
      </c>
      <c r="G114" t="s">
        <v>93</v>
      </c>
    </row>
    <row r="116" spans="1:7" ht="13" x14ac:dyDescent="0.3">
      <c r="A116" s="8" t="s">
        <v>94</v>
      </c>
    </row>
    <row r="118" spans="1:7" ht="13" x14ac:dyDescent="0.3">
      <c r="A118" t="s">
        <v>34</v>
      </c>
      <c r="C118" s="3" t="s">
        <v>95</v>
      </c>
    </row>
    <row r="120" spans="1:7" x14ac:dyDescent="0.25">
      <c r="A120" t="s">
        <v>36</v>
      </c>
      <c r="C120" t="s">
        <v>60</v>
      </c>
      <c r="D120" t="s">
        <v>52</v>
      </c>
    </row>
    <row r="121" spans="1:7" x14ac:dyDescent="0.25">
      <c r="C121" t="s">
        <v>96</v>
      </c>
      <c r="D121" t="s">
        <v>97</v>
      </c>
    </row>
    <row r="123" spans="1:7" ht="14.5" x14ac:dyDescent="0.25">
      <c r="A123" t="s">
        <v>39</v>
      </c>
      <c r="C123" t="s">
        <v>98</v>
      </c>
    </row>
    <row r="125" spans="1:7" x14ac:dyDescent="0.25">
      <c r="A125" t="s">
        <v>41</v>
      </c>
      <c r="C125" t="s">
        <v>99</v>
      </c>
    </row>
    <row r="126" spans="1:7" x14ac:dyDescent="0.25">
      <c r="C126" t="s">
        <v>100</v>
      </c>
    </row>
    <row r="128" spans="1:7" x14ac:dyDescent="0.25">
      <c r="A128" t="s">
        <v>43</v>
      </c>
      <c r="C128" t="s">
        <v>101</v>
      </c>
    </row>
    <row r="129" spans="1:7" ht="13" x14ac:dyDescent="0.3">
      <c r="C129" t="s">
        <v>45</v>
      </c>
      <c r="F129" s="3" t="s">
        <v>102</v>
      </c>
    </row>
    <row r="130" spans="1:7" x14ac:dyDescent="0.25">
      <c r="C130" t="s">
        <v>47</v>
      </c>
      <c r="F130" s="13" t="e">
        <f ca="1">[1]!waterprop.ETAF(293.15,[1]!waterprop.VSUB1(293.15,1))*0.000001</f>
        <v>#NAME?</v>
      </c>
      <c r="G130" t="s">
        <v>103</v>
      </c>
    </row>
    <row r="132" spans="1:7" ht="13" x14ac:dyDescent="0.3">
      <c r="A132" s="8" t="s">
        <v>104</v>
      </c>
    </row>
    <row r="134" spans="1:7" ht="13" x14ac:dyDescent="0.3">
      <c r="A134" t="s">
        <v>34</v>
      </c>
      <c r="C134" s="3" t="s">
        <v>105</v>
      </c>
    </row>
    <row r="136" spans="1:7" x14ac:dyDescent="0.25">
      <c r="A136" t="s">
        <v>36</v>
      </c>
      <c r="C136" t="s">
        <v>60</v>
      </c>
      <c r="D136" t="s">
        <v>52</v>
      </c>
    </row>
    <row r="137" spans="1:7" ht="14.5" x14ac:dyDescent="0.25">
      <c r="C137" t="s">
        <v>96</v>
      </c>
      <c r="D137" t="s">
        <v>61</v>
      </c>
    </row>
    <row r="139" spans="1:7" x14ac:dyDescent="0.25">
      <c r="A139" t="s">
        <v>39</v>
      </c>
      <c r="C139" t="s">
        <v>106</v>
      </c>
    </row>
    <row r="141" spans="1:7" x14ac:dyDescent="0.25">
      <c r="A141" t="s">
        <v>41</v>
      </c>
      <c r="C141" t="s">
        <v>107</v>
      </c>
    </row>
    <row r="142" spans="1:7" x14ac:dyDescent="0.25">
      <c r="C142" t="s">
        <v>108</v>
      </c>
    </row>
    <row r="144" spans="1:7" x14ac:dyDescent="0.25">
      <c r="A144" t="s">
        <v>43</v>
      </c>
      <c r="C144" t="s">
        <v>109</v>
      </c>
    </row>
    <row r="145" spans="3:7" ht="13" x14ac:dyDescent="0.3">
      <c r="C145" t="s">
        <v>45</v>
      </c>
      <c r="F145" s="3" t="s">
        <v>110</v>
      </c>
    </row>
    <row r="146" spans="3:7" x14ac:dyDescent="0.25">
      <c r="C146" t="s">
        <v>47</v>
      </c>
      <c r="F146" s="12" t="e">
        <f ca="1">[1]!waterprop.TCON([1]!BOILP(5),[1]!waterprop.VSUB2([1]!BOILP(5),5))</f>
        <v>#NAME?</v>
      </c>
      <c r="G146" t="s">
        <v>111</v>
      </c>
    </row>
  </sheetData>
  <sheetProtection password="D68A" sheet="1" objects="1" scenarios="1"/>
  <phoneticPr fontId="0" type="noConversion"/>
  <printOptions gridLinesSet="0"/>
  <pageMargins left="0.75" right="0.75" top="1" bottom="1" header="0.51181102300000003" footer="0.51181102300000003"/>
  <pageSetup paperSize="9" orientation="portrait" horizontalDpi="300" verticalDpi="300" r:id="rId1"/>
  <headerFooter alignWithMargins="0">
    <oddHeader>&amp;A</oddHeader>
    <oddFooter>Seite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D57A0-15EC-4EBF-911C-E552344ADD12}">
  <sheetPr codeName="Sheet3"/>
  <dimension ref="A1:I37"/>
  <sheetViews>
    <sheetView topLeftCell="A7" zoomScale="175" zoomScaleNormal="175" workbookViewId="0">
      <selection activeCell="K33" sqref="K33"/>
    </sheetView>
  </sheetViews>
  <sheetFormatPr defaultRowHeight="12.5" x14ac:dyDescent="0.25"/>
  <sheetData>
    <row r="1" spans="1:9" x14ac:dyDescent="0.25">
      <c r="A1" s="14" t="s">
        <v>51</v>
      </c>
      <c r="B1" s="14" t="s">
        <v>37</v>
      </c>
      <c r="C1" s="14" t="s">
        <v>112</v>
      </c>
      <c r="D1" s="14" t="s">
        <v>113</v>
      </c>
      <c r="E1" s="14" t="s">
        <v>114</v>
      </c>
      <c r="F1" s="14" t="s">
        <v>115</v>
      </c>
      <c r="G1" s="14" t="s">
        <v>116</v>
      </c>
      <c r="H1" s="14" t="s">
        <v>117</v>
      </c>
      <c r="I1" s="14" t="s">
        <v>118</v>
      </c>
    </row>
    <row r="2" spans="1:9" x14ac:dyDescent="0.25">
      <c r="A2">
        <v>0</v>
      </c>
      <c r="B2">
        <f>vapp(A2+273.15)</f>
        <v>6.10746718618664E-3</v>
      </c>
      <c r="C2">
        <f>hsub1(A2+273.15,B2)</f>
        <v>-4.1563851974356136E-2</v>
      </c>
      <c r="D2">
        <f>hsub2(A2+273.15,B2)</f>
        <v>2501.5512735050465</v>
      </c>
      <c r="E2">
        <f>D2-C2</f>
        <v>2501.5928373570209</v>
      </c>
      <c r="F2">
        <f t="shared" ref="F2:F11" si="0">(C2-0)/(((A2+273.15)+(0+273.15))/2)</f>
        <v>-1.5216493492350774E-4</v>
      </c>
      <c r="G2">
        <f t="shared" ref="G2:G11" si="1">E2/(273.15+A2)</f>
        <v>9.1583116871939261</v>
      </c>
      <c r="H2">
        <f t="shared" ref="H2:H11" si="2">F2+G2</f>
        <v>9.1581595222590018</v>
      </c>
      <c r="I2" s="23">
        <f t="shared" ref="I2:I11" si="3">C2-B2*100*VSUB1(A2+273.15,B2)</f>
        <v>-4.2174735712503415E-2</v>
      </c>
    </row>
    <row r="3" spans="1:9" x14ac:dyDescent="0.25">
      <c r="A3">
        <v>10</v>
      </c>
      <c r="B3">
        <f t="shared" ref="B3:B37" si="4">vapp(A3+273.15)</f>
        <v>1.227094118668001E-2</v>
      </c>
      <c r="C3">
        <f t="shared" ref="C3:C37" si="5">hsub1(A3+273.15,B3)</f>
        <v>41.994046655990651</v>
      </c>
      <c r="D3">
        <f t="shared" ref="D3:D37" si="6">hsub2(A3+273.15,B3)</f>
        <v>2519.9033497138971</v>
      </c>
      <c r="E3">
        <f t="shared" ref="E3:E37" si="7">D3-C3</f>
        <v>2477.9093030579065</v>
      </c>
      <c r="F3">
        <f t="shared" si="0"/>
        <v>0.1509762597734699</v>
      </c>
      <c r="G3">
        <f t="shared" si="1"/>
        <v>8.751224803312402</v>
      </c>
      <c r="H3">
        <f t="shared" si="2"/>
        <v>8.9022010630858723</v>
      </c>
      <c r="I3" s="23">
        <f t="shared" si="3"/>
        <v>41.992819251072561</v>
      </c>
    </row>
    <row r="4" spans="1:9" x14ac:dyDescent="0.25">
      <c r="A4">
        <v>20</v>
      </c>
      <c r="B4">
        <f t="shared" si="4"/>
        <v>2.3368284028497895E-2</v>
      </c>
      <c r="C4">
        <f t="shared" si="5"/>
        <v>83.861653336507104</v>
      </c>
      <c r="D4">
        <f t="shared" si="6"/>
        <v>2538.1835015850252</v>
      </c>
      <c r="E4">
        <f t="shared" si="7"/>
        <v>2454.3218482485181</v>
      </c>
      <c r="F4">
        <f t="shared" si="0"/>
        <v>0.29617394785981677</v>
      </c>
      <c r="G4">
        <f t="shared" si="1"/>
        <v>8.3722389501910914</v>
      </c>
      <c r="H4">
        <f t="shared" si="2"/>
        <v>8.6684128980509083</v>
      </c>
      <c r="I4" s="23">
        <f t="shared" si="3"/>
        <v>83.859312477806981</v>
      </c>
    </row>
    <row r="5" spans="1:9" x14ac:dyDescent="0.25">
      <c r="A5">
        <v>30</v>
      </c>
      <c r="B5">
        <f t="shared" si="4"/>
        <v>4.2417269567528219E-2</v>
      </c>
      <c r="C5">
        <f t="shared" si="5"/>
        <v>125.66360319640626</v>
      </c>
      <c r="D5">
        <f t="shared" si="6"/>
        <v>2556.3528300559287</v>
      </c>
      <c r="E5">
        <f t="shared" si="7"/>
        <v>2430.6892268595225</v>
      </c>
      <c r="F5">
        <f t="shared" si="0"/>
        <v>0.43610481761723502</v>
      </c>
      <c r="G5">
        <f t="shared" si="1"/>
        <v>8.0181072962544047</v>
      </c>
      <c r="H5">
        <f t="shared" si="2"/>
        <v>8.4542121138716393</v>
      </c>
      <c r="I5" s="23">
        <f t="shared" si="3"/>
        <v>125.65934319314916</v>
      </c>
    </row>
    <row r="6" spans="1:9" x14ac:dyDescent="0.25">
      <c r="A6">
        <v>40</v>
      </c>
      <c r="B6">
        <f t="shared" si="4"/>
        <v>7.3749155389978727E-2</v>
      </c>
      <c r="C6">
        <f t="shared" si="5"/>
        <v>167.4522883404</v>
      </c>
      <c r="D6">
        <f t="shared" si="6"/>
        <v>2574.3654620813036</v>
      </c>
      <c r="E6">
        <f t="shared" si="7"/>
        <v>2406.9131737409034</v>
      </c>
      <c r="F6">
        <f t="shared" si="0"/>
        <v>0.57121708456558085</v>
      </c>
      <c r="G6">
        <f t="shared" si="1"/>
        <v>7.6861349951809155</v>
      </c>
      <c r="H6">
        <f t="shared" si="2"/>
        <v>8.2573520797464965</v>
      </c>
      <c r="I6" s="23">
        <f t="shared" si="3"/>
        <v>167.44485581834175</v>
      </c>
    </row>
    <row r="7" spans="1:9" x14ac:dyDescent="0.25">
      <c r="A7">
        <v>50</v>
      </c>
      <c r="B7">
        <f t="shared" si="4"/>
        <v>0.12334606310488409</v>
      </c>
      <c r="C7">
        <f t="shared" si="5"/>
        <v>209.25562228388011</v>
      </c>
      <c r="D7">
        <f t="shared" si="6"/>
        <v>2592.1696339511986</v>
      </c>
      <c r="E7">
        <f t="shared" si="7"/>
        <v>2382.9140116673184</v>
      </c>
      <c r="F7">
        <f t="shared" si="0"/>
        <v>0.70184679618943524</v>
      </c>
      <c r="G7">
        <f t="shared" si="1"/>
        <v>7.3740182938799892</v>
      </c>
      <c r="H7">
        <f t="shared" si="2"/>
        <v>8.0758650900694242</v>
      </c>
      <c r="I7" s="23">
        <f t="shared" si="3"/>
        <v>209.24313824662195</v>
      </c>
    </row>
    <row r="8" spans="1:9" x14ac:dyDescent="0.25">
      <c r="A8">
        <v>60</v>
      </c>
      <c r="B8">
        <f t="shared" si="4"/>
        <v>0.1991898659846025</v>
      </c>
      <c r="C8">
        <f t="shared" si="5"/>
        <v>251.09095874490461</v>
      </c>
      <c r="D8">
        <f t="shared" si="6"/>
        <v>2609.7090802712128</v>
      </c>
      <c r="E8">
        <f t="shared" si="7"/>
        <v>2358.6181215263082</v>
      </c>
      <c r="F8">
        <f t="shared" si="0"/>
        <v>0.82827299602475546</v>
      </c>
      <c r="G8">
        <f t="shared" si="1"/>
        <v>7.0797482261032822</v>
      </c>
      <c r="H8">
        <f t="shared" si="2"/>
        <v>7.9080212221280375</v>
      </c>
      <c r="I8" s="23">
        <f t="shared" si="3"/>
        <v>251.07069824984723</v>
      </c>
    </row>
    <row r="9" spans="1:9" x14ac:dyDescent="0.25">
      <c r="A9">
        <v>70</v>
      </c>
      <c r="B9">
        <f t="shared" si="4"/>
        <v>0.3116060260293444</v>
      </c>
      <c r="C9">
        <f t="shared" si="5"/>
        <v>292.97269629051561</v>
      </c>
      <c r="D9">
        <f t="shared" si="6"/>
        <v>2626.9244617897743</v>
      </c>
      <c r="E9">
        <f t="shared" si="7"/>
        <v>2333.9517654992587</v>
      </c>
      <c r="F9">
        <f t="shared" si="0"/>
        <v>0.95074702674189726</v>
      </c>
      <c r="G9">
        <f t="shared" si="1"/>
        <v>6.8015496590390763</v>
      </c>
      <c r="H9">
        <f t="shared" si="2"/>
        <v>7.7522966857809736</v>
      </c>
      <c r="I9" s="23">
        <f t="shared" si="3"/>
        <v>292.94082367530393</v>
      </c>
    </row>
    <row r="10" spans="1:9" x14ac:dyDescent="0.25">
      <c r="A10">
        <v>80</v>
      </c>
      <c r="B10">
        <f t="shared" si="4"/>
        <v>0.47358693419845876</v>
      </c>
      <c r="C10">
        <f t="shared" si="5"/>
        <v>334.9162332858395</v>
      </c>
      <c r="D10">
        <f t="shared" si="6"/>
        <v>2643.754567747048</v>
      </c>
      <c r="E10">
        <f t="shared" si="7"/>
        <v>2308.8383344612084</v>
      </c>
      <c r="F10">
        <f t="shared" si="0"/>
        <v>1.0695073711826266</v>
      </c>
      <c r="G10">
        <f t="shared" si="1"/>
        <v>6.5378403920747798</v>
      </c>
      <c r="H10">
        <f t="shared" si="2"/>
        <v>7.6073477632574065</v>
      </c>
      <c r="I10" s="23">
        <f t="shared" si="3"/>
        <v>334.86749206297674</v>
      </c>
    </row>
    <row r="11" spans="1:9" x14ac:dyDescent="0.25">
      <c r="A11">
        <v>90</v>
      </c>
      <c r="B11">
        <f t="shared" si="4"/>
        <v>0.70108199506367053</v>
      </c>
      <c r="C11">
        <f t="shared" si="5"/>
        <v>376.93974598665591</v>
      </c>
      <c r="D11">
        <f t="shared" si="6"/>
        <v>2660.1370894690308</v>
      </c>
      <c r="E11">
        <f t="shared" si="7"/>
        <v>2283.1973434823749</v>
      </c>
      <c r="F11">
        <f t="shared" si="0"/>
        <v>1.1847862517260912</v>
      </c>
      <c r="G11">
        <f t="shared" si="1"/>
        <v>6.2872018270201711</v>
      </c>
      <c r="H11">
        <f t="shared" si="2"/>
        <v>7.4719880787462625</v>
      </c>
      <c r="I11" s="23">
        <f t="shared" si="3"/>
        <v>376.86710339956016</v>
      </c>
    </row>
    <row r="12" spans="1:9" x14ac:dyDescent="0.25">
      <c r="A12">
        <v>100</v>
      </c>
      <c r="B12">
        <f t="shared" si="4"/>
        <v>1.013245216435261</v>
      </c>
      <c r="C12">
        <f t="shared" si="5"/>
        <v>419.06468352179985</v>
      </c>
      <c r="D12">
        <f t="shared" si="6"/>
        <v>2676.0088597191721</v>
      </c>
      <c r="E12">
        <f t="shared" si="7"/>
        <v>2256.9441761973721</v>
      </c>
      <c r="F12">
        <f>(C12-0)/(((A12+273.15)+(0+273.15))/2)</f>
        <v>1.2968116463617512</v>
      </c>
      <c r="G12">
        <f>E12/(273.15+A12)</f>
        <v>6.0483563612417859</v>
      </c>
      <c r="H12">
        <f>F12+G12</f>
        <v>7.3451680076035366</v>
      </c>
      <c r="I12" s="23">
        <f>C12-B12*100*VSUB1(A12+273.15,B12)</f>
        <v>418.95893029159021</v>
      </c>
    </row>
    <row r="13" spans="1:9" x14ac:dyDescent="0.25">
      <c r="A13">
        <v>110</v>
      </c>
      <c r="B13">
        <f t="shared" si="4"/>
        <v>1.4326346950555913</v>
      </c>
      <c r="C13">
        <f t="shared" si="5"/>
        <v>461.31556633366301</v>
      </c>
      <c r="D13">
        <f t="shared" si="6"/>
        <v>2691.3055610331476</v>
      </c>
      <c r="E13">
        <f t="shared" si="7"/>
        <v>2229.9899946994847</v>
      </c>
      <c r="F13">
        <f t="shared" ref="F13:F37" si="8">(C13-0)/(((A13+273.15)+(0+273.15))/2)</f>
        <v>1.4058069978170442</v>
      </c>
      <c r="G13">
        <f t="shared" ref="G13:G37" si="9">E13/(273.15+A13)</f>
        <v>5.8201487529674667</v>
      </c>
      <c r="H13">
        <f t="shared" ref="H13:H37" si="10">F13+G13</f>
        <v>7.2259557507845109</v>
      </c>
      <c r="I13" s="23">
        <f t="shared" ref="I13:I37" si="11">C13-B13*100*VSUB1(A13+273.15,B13)</f>
        <v>461.16487229927219</v>
      </c>
    </row>
    <row r="14" spans="1:9" x14ac:dyDescent="0.25">
      <c r="A14">
        <v>120</v>
      </c>
      <c r="B14">
        <f t="shared" si="4"/>
        <v>1.9853616155711762</v>
      </c>
      <c r="C14">
        <f t="shared" si="5"/>
        <v>503.71949142923137</v>
      </c>
      <c r="D14">
        <f t="shared" si="6"/>
        <v>2705.9610057342425</v>
      </c>
      <c r="E14">
        <f t="shared" si="7"/>
        <v>2202.2415143050112</v>
      </c>
      <c r="F14">
        <f t="shared" si="8"/>
        <v>1.5119900688255483</v>
      </c>
      <c r="G14">
        <f t="shared" si="9"/>
        <v>5.6015299867862423</v>
      </c>
      <c r="H14">
        <f t="shared" si="10"/>
        <v>7.1135200556117901</v>
      </c>
      <c r="I14" s="23">
        <f t="shared" si="11"/>
        <v>503.50891757485357</v>
      </c>
    </row>
    <row r="15" spans="1:9" x14ac:dyDescent="0.25">
      <c r="A15">
        <v>130</v>
      </c>
      <c r="B15">
        <f t="shared" si="4"/>
        <v>2.7011889651937793</v>
      </c>
      <c r="C15">
        <f t="shared" si="5"/>
        <v>546.30562288326951</v>
      </c>
      <c r="D15">
        <f t="shared" si="6"/>
        <v>2719.9061686773289</v>
      </c>
      <c r="E15">
        <f t="shared" si="7"/>
        <v>2173.6005457940591</v>
      </c>
      <c r="F15">
        <f t="shared" si="8"/>
        <v>1.6155718553401435</v>
      </c>
      <c r="G15">
        <f t="shared" si="9"/>
        <v>5.3915429636464323</v>
      </c>
      <c r="H15">
        <f t="shared" si="10"/>
        <v>7.007114818986576</v>
      </c>
      <c r="I15" s="23">
        <f t="shared" si="11"/>
        <v>546.01658966434468</v>
      </c>
    </row>
    <row r="16" spans="1:9" x14ac:dyDescent="0.25">
      <c r="A16">
        <v>140</v>
      </c>
      <c r="B16">
        <f t="shared" si="4"/>
        <v>3.6135821302870439</v>
      </c>
      <c r="C16">
        <f t="shared" si="5"/>
        <v>589.10485073729478</v>
      </c>
      <c r="D16">
        <f t="shared" si="6"/>
        <v>2733.0682029226127</v>
      </c>
      <c r="E16">
        <f t="shared" si="7"/>
        <v>2143.9633521853179</v>
      </c>
      <c r="F16">
        <f t="shared" si="8"/>
        <v>1.7167560854940838</v>
      </c>
      <c r="G16">
        <f t="shared" si="9"/>
        <v>5.1893098201266321</v>
      </c>
      <c r="H16">
        <f t="shared" si="10"/>
        <v>6.9060659056207161</v>
      </c>
      <c r="I16" s="23">
        <f t="shared" si="11"/>
        <v>588.71456166656776</v>
      </c>
    </row>
    <row r="17" spans="1:9" x14ac:dyDescent="0.25">
      <c r="A17">
        <v>150</v>
      </c>
      <c r="B17">
        <f t="shared" si="4"/>
        <v>4.7597150756287618</v>
      </c>
      <c r="C17">
        <f t="shared" si="5"/>
        <v>632.14972444466218</v>
      </c>
      <c r="D17">
        <f t="shared" si="6"/>
        <v>2745.369677415762</v>
      </c>
      <c r="E17">
        <f t="shared" si="7"/>
        <v>2113.2199529710997</v>
      </c>
      <c r="F17">
        <f t="shared" si="8"/>
        <v>1.8157395503221663</v>
      </c>
      <c r="G17">
        <f t="shared" si="9"/>
        <v>4.9940209215906881</v>
      </c>
      <c r="H17">
        <f t="shared" si="10"/>
        <v>6.8097604719128544</v>
      </c>
      <c r="I17" s="23">
        <f t="shared" si="11"/>
        <v>631.63054255743339</v>
      </c>
    </row>
    <row r="18" spans="1:9" x14ac:dyDescent="0.25">
      <c r="A18">
        <v>160</v>
      </c>
      <c r="B18">
        <f t="shared" si="4"/>
        <v>6.180437174695256</v>
      </c>
      <c r="C18">
        <f t="shared" si="5"/>
        <v>675.47470490063881</v>
      </c>
      <c r="D18">
        <f t="shared" si="6"/>
        <v>2756.7282277971581</v>
      </c>
      <c r="E18">
        <f t="shared" si="7"/>
        <v>2081.2535228965194</v>
      </c>
      <c r="F18">
        <f t="shared" si="8"/>
        <v>1.9127133085109411</v>
      </c>
      <c r="G18">
        <f t="shared" si="9"/>
        <v>4.8049255982835497</v>
      </c>
      <c r="H18">
        <f t="shared" si="10"/>
        <v>6.717638906794491</v>
      </c>
      <c r="I18" s="23">
        <f t="shared" si="11"/>
        <v>674.79347790473139</v>
      </c>
    </row>
    <row r="19" spans="1:9" x14ac:dyDescent="0.25">
      <c r="A19">
        <v>170</v>
      </c>
      <c r="B19">
        <f t="shared" si="4"/>
        <v>7.9202072031375383</v>
      </c>
      <c r="C19">
        <f t="shared" si="5"/>
        <v>719.11673167843367</v>
      </c>
      <c r="D19">
        <f t="shared" si="6"/>
        <v>2767.0566908031301</v>
      </c>
      <c r="E19">
        <f t="shared" si="7"/>
        <v>2047.9399591246965</v>
      </c>
      <c r="F19">
        <f t="shared" si="8"/>
        <v>2.0078646703292859</v>
      </c>
      <c r="G19">
        <f t="shared" si="9"/>
        <v>4.6213245156824927</v>
      </c>
      <c r="H19">
        <f t="shared" si="10"/>
        <v>6.6291891860117786</v>
      </c>
      <c r="I19" s="23">
        <f t="shared" si="11"/>
        <v>718.23405916774198</v>
      </c>
    </row>
    <row r="20" spans="1:9" x14ac:dyDescent="0.25">
      <c r="A20">
        <v>180</v>
      </c>
      <c r="B20">
        <f t="shared" si="4"/>
        <v>10.027002690466617</v>
      </c>
      <c r="C20">
        <f t="shared" si="5"/>
        <v>763.11607045551443</v>
      </c>
      <c r="D20">
        <f t="shared" si="6"/>
        <v>2776.2635976488004</v>
      </c>
      <c r="E20">
        <f t="shared" si="7"/>
        <v>2013.1475271932859</v>
      </c>
      <c r="F20">
        <f t="shared" si="8"/>
        <v>2.1013797892207475</v>
      </c>
      <c r="G20">
        <f t="shared" si="9"/>
        <v>4.4425632289380692</v>
      </c>
      <c r="H20">
        <f t="shared" si="10"/>
        <v>6.5439430181588172</v>
      </c>
      <c r="I20" s="23">
        <f t="shared" si="11"/>
        <v>761.98550331119009</v>
      </c>
    </row>
    <row r="21" spans="1:9" x14ac:dyDescent="0.25">
      <c r="A21">
        <v>190</v>
      </c>
      <c r="B21">
        <f t="shared" si="4"/>
        <v>12.552214799516209</v>
      </c>
      <c r="C21">
        <f t="shared" si="5"/>
        <v>807.5173913954518</v>
      </c>
      <c r="D21">
        <f t="shared" si="6"/>
        <v>2784.2536586514493</v>
      </c>
      <c r="E21">
        <f t="shared" si="7"/>
        <v>1976.7362672559975</v>
      </c>
      <c r="F21">
        <f t="shared" si="8"/>
        <v>2.1934466695516823</v>
      </c>
      <c r="G21">
        <f t="shared" si="9"/>
        <v>4.2680260547468372</v>
      </c>
      <c r="H21">
        <f t="shared" si="10"/>
        <v>6.4614727242985195</v>
      </c>
      <c r="I21" s="23">
        <f t="shared" si="11"/>
        <v>806.08454911232468</v>
      </c>
    </row>
    <row r="22" spans="1:9" x14ac:dyDescent="0.25">
      <c r="A22">
        <v>200</v>
      </c>
      <c r="B22">
        <f t="shared" si="4"/>
        <v>15.550541108699754</v>
      </c>
      <c r="C22">
        <f t="shared" si="5"/>
        <v>852.37103383231135</v>
      </c>
      <c r="D22">
        <f t="shared" si="6"/>
        <v>2790.9276394052795</v>
      </c>
      <c r="E22">
        <f t="shared" si="7"/>
        <v>1938.5566055729682</v>
      </c>
      <c r="F22">
        <f t="shared" si="8"/>
        <v>2.2842584318164585</v>
      </c>
      <c r="G22">
        <f t="shared" si="9"/>
        <v>4.0971290406276406</v>
      </c>
      <c r="H22">
        <f t="shared" si="10"/>
        <v>6.3813874724440991</v>
      </c>
      <c r="I22" s="23">
        <f t="shared" si="11"/>
        <v>850.57261956886543</v>
      </c>
    </row>
    <row r="23" spans="1:9" x14ac:dyDescent="0.25">
      <c r="A23">
        <v>210</v>
      </c>
      <c r="B23">
        <f t="shared" si="4"/>
        <v>19.079890949707554</v>
      </c>
      <c r="C23">
        <f t="shared" si="5"/>
        <v>897.73443764729348</v>
      </c>
      <c r="D23">
        <f t="shared" si="6"/>
        <v>2796.1808890247285</v>
      </c>
      <c r="E23">
        <f t="shared" si="7"/>
        <v>1898.4464513774351</v>
      </c>
      <c r="F23">
        <f t="shared" si="8"/>
        <v>2.3740167596120414</v>
      </c>
      <c r="G23">
        <f t="shared" si="9"/>
        <v>3.9293106724152649</v>
      </c>
      <c r="H23">
        <f t="shared" si="10"/>
        <v>6.3033274320273058</v>
      </c>
      <c r="I23" s="23">
        <f t="shared" si="11"/>
        <v>895.49712271116357</v>
      </c>
    </row>
    <row r="24" spans="1:9" x14ac:dyDescent="0.25">
      <c r="A24">
        <v>220</v>
      </c>
      <c r="B24">
        <f t="shared" si="4"/>
        <v>23.201320074724123</v>
      </c>
      <c r="C24">
        <f t="shared" si="5"/>
        <v>943.67376848856179</v>
      </c>
      <c r="D24">
        <f t="shared" si="6"/>
        <v>2799.8998089592592</v>
      </c>
      <c r="E24">
        <f t="shared" si="7"/>
        <v>1856.2260404706974</v>
      </c>
      <c r="F24">
        <f t="shared" si="8"/>
        <v>2.4629355826401196</v>
      </c>
      <c r="G24">
        <f t="shared" si="9"/>
        <v>3.7640191432032797</v>
      </c>
      <c r="H24">
        <f t="shared" si="10"/>
        <v>6.2269547258433988</v>
      </c>
      <c r="I24" s="23">
        <f t="shared" si="11"/>
        <v>940.91290686830928</v>
      </c>
    </row>
    <row r="25" spans="1:9" x14ac:dyDescent="0.25">
      <c r="A25">
        <v>230</v>
      </c>
      <c r="B25">
        <f t="shared" si="4"/>
        <v>27.979013133075647</v>
      </c>
      <c r="C25">
        <f t="shared" si="5"/>
        <v>990.26583418462803</v>
      </c>
      <c r="D25">
        <f t="shared" si="6"/>
        <v>2801.9557820353043</v>
      </c>
      <c r="E25">
        <f t="shared" si="7"/>
        <v>1811.6899478506762</v>
      </c>
      <c r="F25">
        <f t="shared" si="8"/>
        <v>2.5512452252598945</v>
      </c>
      <c r="G25">
        <f t="shared" si="9"/>
        <v>3.6006955139633834</v>
      </c>
      <c r="H25">
        <f t="shared" si="10"/>
        <v>6.1519407392232779</v>
      </c>
      <c r="I25" s="23">
        <f t="shared" si="11"/>
        <v>986.88395230415711</v>
      </c>
    </row>
    <row r="26" spans="1:9" x14ac:dyDescent="0.25">
      <c r="A26">
        <v>240</v>
      </c>
      <c r="B26">
        <f t="shared" si="4"/>
        <v>33.480333490174147</v>
      </c>
      <c r="C26">
        <f t="shared" si="5"/>
        <v>1037.6004853117058</v>
      </c>
      <c r="D26">
        <f t="shared" si="6"/>
        <v>2802.1964806424935</v>
      </c>
      <c r="E26">
        <f t="shared" si="7"/>
        <v>1764.5959953307877</v>
      </c>
      <c r="F26">
        <f t="shared" si="8"/>
        <v>2.6391974699521961</v>
      </c>
      <c r="G26">
        <f t="shared" si="9"/>
        <v>3.438752792226031</v>
      </c>
      <c r="H26">
        <f t="shared" si="10"/>
        <v>6.0779502621782271</v>
      </c>
      <c r="I26" s="23">
        <f t="shared" si="11"/>
        <v>1033.4854703365654</v>
      </c>
    </row>
    <row r="27" spans="1:9" x14ac:dyDescent="0.25">
      <c r="A27">
        <v>250</v>
      </c>
      <c r="B27">
        <f t="shared" si="4"/>
        <v>39.775960190006934</v>
      </c>
      <c r="C27">
        <f t="shared" si="5"/>
        <v>1085.7838180660717</v>
      </c>
      <c r="D27">
        <f t="shared" si="6"/>
        <v>2800.4349198060781</v>
      </c>
      <c r="E27">
        <f t="shared" si="7"/>
        <v>1714.6511017400064</v>
      </c>
      <c r="F27">
        <f t="shared" si="8"/>
        <v>2.7270722543415089</v>
      </c>
      <c r="G27">
        <f t="shared" si="9"/>
        <v>3.277551565975354</v>
      </c>
      <c r="H27">
        <f t="shared" si="10"/>
        <v>6.0046238203168629</v>
      </c>
      <c r="I27" s="23">
        <f t="shared" si="11"/>
        <v>1080.8066964366615</v>
      </c>
    </row>
    <row r="28" spans="1:9" x14ac:dyDescent="0.25">
      <c r="A28">
        <v>260</v>
      </c>
      <c r="B28">
        <f t="shared" si="4"/>
        <v>46.940131471318892</v>
      </c>
      <c r="C28">
        <f t="shared" si="5"/>
        <v>1134.9426606270454</v>
      </c>
      <c r="D28">
        <f t="shared" si="6"/>
        <v>2796.4369327777254</v>
      </c>
      <c r="E28">
        <f t="shared" si="7"/>
        <v>1661.49427215068</v>
      </c>
      <c r="F28">
        <f t="shared" si="8"/>
        <v>2.8151870535211345</v>
      </c>
      <c r="G28">
        <f t="shared" si="9"/>
        <v>3.1163730135059176</v>
      </c>
      <c r="H28">
        <f t="shared" si="10"/>
        <v>5.9315600670270516</v>
      </c>
      <c r="I28" s="23">
        <f t="shared" si="11"/>
        <v>1128.95481130455</v>
      </c>
    </row>
    <row r="29" spans="1:9" x14ac:dyDescent="0.25">
      <c r="A29">
        <v>270</v>
      </c>
      <c r="B29">
        <f t="shared" si="4"/>
        <v>55.051013881364746</v>
      </c>
      <c r="C29">
        <f t="shared" si="5"/>
        <v>1185.2310440654135</v>
      </c>
      <c r="D29">
        <f t="shared" si="6"/>
        <v>2789.9079202594444</v>
      </c>
      <c r="E29">
        <f t="shared" si="7"/>
        <v>1604.6768761940309</v>
      </c>
      <c r="F29">
        <f t="shared" si="8"/>
        <v>2.9039104350494021</v>
      </c>
      <c r="G29">
        <f t="shared" si="9"/>
        <v>2.9543899036988512</v>
      </c>
      <c r="H29">
        <f t="shared" si="10"/>
        <v>5.8583003387482533</v>
      </c>
      <c r="I29" s="23">
        <f t="shared" si="11"/>
        <v>1178.0606182312838</v>
      </c>
    </row>
    <row r="30" spans="1:9" x14ac:dyDescent="0.25">
      <c r="A30">
        <v>280</v>
      </c>
      <c r="B30">
        <f t="shared" si="4"/>
        <v>64.191217568555714</v>
      </c>
      <c r="C30">
        <f t="shared" si="5"/>
        <v>1236.8396785755795</v>
      </c>
      <c r="D30">
        <f t="shared" si="6"/>
        <v>2780.4809108547834</v>
      </c>
      <c r="E30">
        <f t="shared" si="7"/>
        <v>1543.6412322792039</v>
      </c>
      <c r="F30">
        <f t="shared" si="8"/>
        <v>2.9936819038498839</v>
      </c>
      <c r="G30">
        <f t="shared" si="9"/>
        <v>2.7906376792537357</v>
      </c>
      <c r="H30">
        <f t="shared" si="10"/>
        <v>5.7843195831036196</v>
      </c>
      <c r="I30" s="23">
        <f t="shared" si="11"/>
        <v>1228.2868809274776</v>
      </c>
    </row>
    <row r="31" spans="1:9" x14ac:dyDescent="0.25">
      <c r="A31">
        <v>290</v>
      </c>
      <c r="B31">
        <f t="shared" si="4"/>
        <v>74.448486219145963</v>
      </c>
      <c r="C31">
        <f t="shared" si="5"/>
        <v>1290.00997825534</v>
      </c>
      <c r="D31">
        <f t="shared" si="6"/>
        <v>2767.7127113133729</v>
      </c>
      <c r="E31">
        <f t="shared" si="7"/>
        <v>1477.7027330580329</v>
      </c>
      <c r="F31">
        <f t="shared" si="8"/>
        <v>3.0850412011367694</v>
      </c>
      <c r="G31">
        <f t="shared" si="9"/>
        <v>2.6239949090971018</v>
      </c>
      <c r="H31">
        <f t="shared" si="10"/>
        <v>5.7090361102338711</v>
      </c>
      <c r="I31" s="23">
        <f t="shared" si="11"/>
        <v>1279.840669377445</v>
      </c>
    </row>
    <row r="32" spans="1:9" x14ac:dyDescent="0.25">
      <c r="A32">
        <v>300</v>
      </c>
      <c r="B32">
        <f t="shared" si="4"/>
        <v>85.916614341946101</v>
      </c>
      <c r="C32">
        <f t="shared" si="5"/>
        <v>1345.0551567120069</v>
      </c>
      <c r="D32">
        <f t="shared" si="6"/>
        <v>2751.0947867833243</v>
      </c>
      <c r="E32">
        <f t="shared" si="7"/>
        <v>1406.0396300713173</v>
      </c>
      <c r="F32">
        <f t="shared" si="8"/>
        <v>3.1786722361148696</v>
      </c>
      <c r="G32">
        <f t="shared" si="9"/>
        <v>2.4531791504341225</v>
      </c>
      <c r="H32">
        <f t="shared" si="10"/>
        <v>5.6318513865489921</v>
      </c>
      <c r="I32" s="23">
        <f t="shared" si="11"/>
        <v>1332.9918888931913</v>
      </c>
    </row>
    <row r="33" spans="1:9" x14ac:dyDescent="0.25">
      <c r="A33">
        <v>310</v>
      </c>
      <c r="B33">
        <f t="shared" si="4"/>
        <v>98.696707476237606</v>
      </c>
      <c r="C33">
        <f t="shared" si="5"/>
        <v>1402.3930280204177</v>
      </c>
      <c r="D33">
        <f t="shared" si="6"/>
        <v>2730.0324295947612</v>
      </c>
      <c r="E33">
        <f t="shared" si="7"/>
        <v>1327.6394015743435</v>
      </c>
      <c r="F33">
        <f t="shared" si="8"/>
        <v>3.2754712788051332</v>
      </c>
      <c r="G33">
        <f t="shared" si="9"/>
        <v>2.276668784316803</v>
      </c>
      <c r="H33">
        <f t="shared" si="10"/>
        <v>5.5521400631219358</v>
      </c>
      <c r="I33" s="23">
        <f t="shared" si="11"/>
        <v>1388.1019667816645</v>
      </c>
    </row>
    <row r="34" spans="1:9" x14ac:dyDescent="0.25">
      <c r="A34">
        <v>320</v>
      </c>
      <c r="B34">
        <f t="shared" si="4"/>
        <v>112.89905223531635</v>
      </c>
      <c r="C34">
        <f t="shared" si="5"/>
        <v>1462.6003828030928</v>
      </c>
      <c r="D34">
        <f t="shared" si="6"/>
        <v>2703.6119183935589</v>
      </c>
      <c r="E34">
        <f t="shared" si="7"/>
        <v>1241.0115355904661</v>
      </c>
      <c r="F34">
        <f t="shared" si="8"/>
        <v>3.3766602396469878</v>
      </c>
      <c r="G34">
        <f t="shared" si="9"/>
        <v>2.0922389540427653</v>
      </c>
      <c r="H34">
        <f t="shared" si="10"/>
        <v>5.4688991936897526</v>
      </c>
      <c r="I34" s="23">
        <f t="shared" si="11"/>
        <v>1445.6711920080179</v>
      </c>
    </row>
    <row r="35" spans="1:9" x14ac:dyDescent="0.25">
      <c r="A35">
        <v>330</v>
      </c>
      <c r="B35">
        <f t="shared" si="4"/>
        <v>128.6462160319264</v>
      </c>
      <c r="C35">
        <f t="shared" si="5"/>
        <v>1526.5139472953867</v>
      </c>
      <c r="D35">
        <f t="shared" si="6"/>
        <v>2669.9982323340519</v>
      </c>
      <c r="E35">
        <f t="shared" si="7"/>
        <v>1143.4842850386651</v>
      </c>
      <c r="F35">
        <f t="shared" si="8"/>
        <v>3.4839985103169848</v>
      </c>
      <c r="G35">
        <f t="shared" si="9"/>
        <v>1.8958539087103792</v>
      </c>
      <c r="H35">
        <f t="shared" si="10"/>
        <v>5.3798524190273636</v>
      </c>
      <c r="I35" s="23">
        <f t="shared" si="11"/>
        <v>1506.4264769545293</v>
      </c>
    </row>
    <row r="36" spans="1:9" x14ac:dyDescent="0.25">
      <c r="A36">
        <v>340</v>
      </c>
      <c r="B36">
        <f t="shared" si="4"/>
        <v>146.07881292551326</v>
      </c>
      <c r="C36">
        <f t="shared" si="5"/>
        <v>1595.4565509677441</v>
      </c>
      <c r="D36">
        <f t="shared" si="6"/>
        <v>2625.9052313748766</v>
      </c>
      <c r="E36">
        <f t="shared" si="7"/>
        <v>1030.4486804071325</v>
      </c>
      <c r="F36">
        <f t="shared" si="8"/>
        <v>3.6002630056814717</v>
      </c>
      <c r="G36">
        <f t="shared" si="9"/>
        <v>1.6805817180251694</v>
      </c>
      <c r="H36">
        <f t="shared" si="10"/>
        <v>5.2808447237066414</v>
      </c>
      <c r="I36" s="23">
        <f t="shared" si="11"/>
        <v>1571.5190125901859</v>
      </c>
    </row>
    <row r="37" spans="1:9" x14ac:dyDescent="0.25">
      <c r="A37">
        <v>350</v>
      </c>
      <c r="B37">
        <f t="shared" si="4"/>
        <v>165.36727123928756</v>
      </c>
      <c r="C37">
        <f t="shared" si="5"/>
        <v>1671.9286776698491</v>
      </c>
      <c r="D37">
        <f t="shared" si="6"/>
        <v>2567.463326788361</v>
      </c>
      <c r="E37">
        <f t="shared" si="7"/>
        <v>895.53464911851188</v>
      </c>
      <c r="F37">
        <f t="shared" si="8"/>
        <v>3.7307345256495577</v>
      </c>
      <c r="G37">
        <f t="shared" si="9"/>
        <v>1.4371092820645301</v>
      </c>
      <c r="H37">
        <f t="shared" si="10"/>
        <v>5.167843807714088</v>
      </c>
      <c r="I37" s="23">
        <f t="shared" si="11"/>
        <v>1643.1370333188986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454AC-8AA0-4490-A15E-3C4D49B88108}">
  <sheetPr codeName="Sheet5"/>
  <dimension ref="A1:E15"/>
  <sheetViews>
    <sheetView zoomScale="205" zoomScaleNormal="205" workbookViewId="0">
      <selection activeCell="E5" sqref="E5"/>
    </sheetView>
  </sheetViews>
  <sheetFormatPr defaultRowHeight="12.5" x14ac:dyDescent="0.25"/>
  <cols>
    <col min="1" max="1" width="22.08984375" bestFit="1" customWidth="1"/>
    <col min="2" max="2" width="18.453125" bestFit="1" customWidth="1"/>
  </cols>
  <sheetData>
    <row r="1" spans="1:5" x14ac:dyDescent="0.25">
      <c r="A1">
        <v>23</v>
      </c>
    </row>
    <row r="2" spans="1:5" x14ac:dyDescent="0.25">
      <c r="A2" s="24">
        <f>23000000*1500*0.08</f>
        <v>2760000000</v>
      </c>
    </row>
    <row r="3" spans="1:5" x14ac:dyDescent="0.25">
      <c r="A3" s="25">
        <f>0.2*A2*1/VSUB1(235+273.15,vapp(235+273.15))</f>
        <v>452945882221.26654</v>
      </c>
    </row>
    <row r="4" spans="1:5" x14ac:dyDescent="0.25">
      <c r="A4" s="25">
        <f>0.6*A2*1/VSUB2(235+273.15,vapp(235+273.15))</f>
        <v>25383709661.651764</v>
      </c>
      <c r="B4" s="25"/>
    </row>
    <row r="5" spans="1:5" x14ac:dyDescent="0.25">
      <c r="A5" s="25">
        <f>SUM(A3:A4)</f>
        <v>478329591882.91833</v>
      </c>
      <c r="B5" t="s">
        <v>120</v>
      </c>
    </row>
    <row r="6" spans="1:5" x14ac:dyDescent="0.25">
      <c r="A6" s="25">
        <f>A5/2/3600</f>
        <v>66434665.539294213</v>
      </c>
      <c r="B6" t="s">
        <v>119</v>
      </c>
    </row>
    <row r="7" spans="1:5" x14ac:dyDescent="0.25">
      <c r="A7" s="25">
        <f>A6/(25*365*24*0.9)</f>
        <v>337.06070796191887</v>
      </c>
    </row>
    <row r="10" spans="1:5" x14ac:dyDescent="0.25">
      <c r="A10">
        <v>250</v>
      </c>
      <c r="B10">
        <v>300</v>
      </c>
      <c r="C10">
        <v>360</v>
      </c>
    </row>
    <row r="11" spans="1:5" x14ac:dyDescent="0.25">
      <c r="A11">
        <f>hsub1(A10+273.15, 150)</f>
        <v>1086.1583418558382</v>
      </c>
      <c r="B11">
        <f>hsub1(B10+273.15, 200)</f>
        <v>1334.2635008581353</v>
      </c>
      <c r="C11">
        <f>hsub1(C10+273.15, 210)</f>
        <v>1729.5469857362418</v>
      </c>
    </row>
    <row r="12" spans="1:5" x14ac:dyDescent="0.25">
      <c r="A12">
        <f>8.7007*LN(A11)-52.335</f>
        <v>8.4863932279167926</v>
      </c>
      <c r="B12">
        <f t="shared" ref="B12:C12" si="0">8.7007*LN(B11)-52.335</f>
        <v>10.276409478807516</v>
      </c>
      <c r="C12">
        <f t="shared" si="0"/>
        <v>12.534067648989158</v>
      </c>
    </row>
    <row r="13" spans="1:5" x14ac:dyDescent="0.25">
      <c r="A13">
        <f>hsub1(250+273.15,100)</f>
        <v>1085.8275967113811</v>
      </c>
    </row>
    <row r="15" spans="1:5" x14ac:dyDescent="0.25">
      <c r="B15">
        <f>0.3/2.5</f>
        <v>0.12</v>
      </c>
      <c r="E15">
        <f>BOILP(70)-273.15</f>
        <v>285.80154390335076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B5B23-100A-4380-9ECD-D80DFF4887F6}">
  <sheetPr codeName="Sheet6"/>
  <dimension ref="A1:E66"/>
  <sheetViews>
    <sheetView tabSelected="1" topLeftCell="A57" zoomScale="175" zoomScaleNormal="175" workbookViewId="0">
      <selection activeCell="G59" sqref="G59"/>
    </sheetView>
  </sheetViews>
  <sheetFormatPr defaultRowHeight="12.5" x14ac:dyDescent="0.25"/>
  <cols>
    <col min="1" max="1" width="11.08984375" bestFit="1" customWidth="1"/>
  </cols>
  <sheetData>
    <row r="1" spans="1:2" x14ac:dyDescent="0.25">
      <c r="A1" s="14" t="s">
        <v>121</v>
      </c>
    </row>
    <row r="2" spans="1:2" x14ac:dyDescent="0.25">
      <c r="A2" s="14" t="s">
        <v>125</v>
      </c>
      <c r="B2" s="14" t="s">
        <v>126</v>
      </c>
    </row>
    <row r="3" spans="1:2" x14ac:dyDescent="0.25">
      <c r="A3">
        <v>100</v>
      </c>
      <c r="B3" s="26">
        <f>vapp(A3+273.15)</f>
        <v>1.013245216435261</v>
      </c>
    </row>
    <row r="4" spans="1:2" x14ac:dyDescent="0.25">
      <c r="A4">
        <v>150</v>
      </c>
      <c r="B4" s="26">
        <f t="shared" ref="B4:B6" si="0">vapp(A4+273.15)</f>
        <v>4.7597150756287618</v>
      </c>
    </row>
    <row r="5" spans="1:2" x14ac:dyDescent="0.25">
      <c r="A5">
        <v>200</v>
      </c>
      <c r="B5" s="26">
        <f t="shared" si="0"/>
        <v>15.550541108699754</v>
      </c>
    </row>
    <row r="6" spans="1:2" x14ac:dyDescent="0.25">
      <c r="A6">
        <v>250</v>
      </c>
      <c r="B6" s="26">
        <f t="shared" si="0"/>
        <v>39.775960190006934</v>
      </c>
    </row>
    <row r="9" spans="1:2" x14ac:dyDescent="0.25">
      <c r="A9" s="14" t="s">
        <v>122</v>
      </c>
    </row>
    <row r="10" spans="1:2" x14ac:dyDescent="0.25">
      <c r="A10" s="14" t="s">
        <v>124</v>
      </c>
      <c r="B10" s="14" t="s">
        <v>123</v>
      </c>
    </row>
    <row r="11" spans="1:2" x14ac:dyDescent="0.25">
      <c r="A11">
        <v>1</v>
      </c>
      <c r="B11" s="27">
        <f>BOILP(A11)-273.15</f>
        <v>99.632162761688221</v>
      </c>
    </row>
    <row r="12" spans="1:2" x14ac:dyDescent="0.25">
      <c r="A12">
        <v>5</v>
      </c>
      <c r="B12" s="27">
        <f t="shared" ref="B12:B14" si="1">BOILP(A12)-273.15</f>
        <v>151.84561872482305</v>
      </c>
    </row>
    <row r="13" spans="1:2" x14ac:dyDescent="0.25">
      <c r="A13">
        <v>10</v>
      </c>
      <c r="B13" s="27">
        <f t="shared" si="1"/>
        <v>179.88275899887083</v>
      </c>
    </row>
    <row r="14" spans="1:2" x14ac:dyDescent="0.25">
      <c r="A14">
        <v>15</v>
      </c>
      <c r="B14" s="27">
        <f t="shared" si="1"/>
        <v>198.28392457962042</v>
      </c>
    </row>
    <row r="17" spans="1:4" x14ac:dyDescent="0.25">
      <c r="A17" s="14" t="s">
        <v>127</v>
      </c>
    </row>
    <row r="18" spans="1:4" x14ac:dyDescent="0.25">
      <c r="A18" s="14" t="s">
        <v>123</v>
      </c>
      <c r="B18">
        <v>270</v>
      </c>
      <c r="C18" s="14" t="s">
        <v>128</v>
      </c>
      <c r="D18">
        <f>vapp(B18+273.15)</f>
        <v>55.051013881364746</v>
      </c>
    </row>
    <row r="19" spans="1:4" x14ac:dyDescent="0.25">
      <c r="A19" s="14" t="s">
        <v>124</v>
      </c>
      <c r="B19">
        <v>70</v>
      </c>
      <c r="C19" s="14" t="s">
        <v>129</v>
      </c>
      <c r="D19" s="14" t="s">
        <v>130</v>
      </c>
    </row>
    <row r="22" spans="1:4" x14ac:dyDescent="0.25">
      <c r="A22" s="14" t="s">
        <v>131</v>
      </c>
    </row>
    <row r="23" spans="1:4" x14ac:dyDescent="0.25">
      <c r="A23" s="14" t="s">
        <v>123</v>
      </c>
      <c r="B23">
        <v>240</v>
      </c>
      <c r="C23" s="14" t="s">
        <v>128</v>
      </c>
      <c r="D23">
        <f>vapp(B23+273.15)</f>
        <v>33.480333490174147</v>
      </c>
    </row>
    <row r="24" spans="1:4" x14ac:dyDescent="0.25">
      <c r="A24" s="14" t="s">
        <v>124</v>
      </c>
      <c r="B24">
        <v>33.4</v>
      </c>
      <c r="C24" s="14" t="s">
        <v>129</v>
      </c>
      <c r="D24" s="14" t="s">
        <v>132</v>
      </c>
    </row>
    <row r="27" spans="1:4" x14ac:dyDescent="0.25">
      <c r="A27" s="14" t="s">
        <v>133</v>
      </c>
    </row>
    <row r="28" spans="1:4" x14ac:dyDescent="0.25">
      <c r="A28" s="14" t="s">
        <v>125</v>
      </c>
      <c r="B28" s="14" t="s">
        <v>112</v>
      </c>
      <c r="C28" s="14" t="s">
        <v>134</v>
      </c>
    </row>
    <row r="29" spans="1:4" x14ac:dyDescent="0.25">
      <c r="A29">
        <v>100</v>
      </c>
      <c r="B29" s="27">
        <f>hsub1(A29+273.15,vapp(A29+273.15))</f>
        <v>419.06468352179985</v>
      </c>
      <c r="C29" s="23">
        <f>B29-vapp(A29+273.15)*VSUB1(A29+273.15,vapp(A29+273.15))*100</f>
        <v>418.95893029159021</v>
      </c>
      <c r="D29" s="23" t="s">
        <v>135</v>
      </c>
    </row>
    <row r="30" spans="1:4" x14ac:dyDescent="0.25">
      <c r="A30">
        <v>150</v>
      </c>
      <c r="B30" s="27">
        <f>hsub1(A30+273.15,vapp(A30+273.15))</f>
        <v>632.14972444466218</v>
      </c>
      <c r="C30" s="23">
        <f>B30-vapp(A30+273.15)*VSUB1(A30+273.15,vapp(A30+273.15))*100</f>
        <v>631.63054255743339</v>
      </c>
    </row>
    <row r="31" spans="1:4" x14ac:dyDescent="0.25">
      <c r="A31">
        <v>200</v>
      </c>
      <c r="B31" s="27">
        <f>hsub1(A31+273.15,vapp(A31+273.15))</f>
        <v>852.37103383231135</v>
      </c>
      <c r="C31" s="23">
        <f>B31-vapp(A31+273.15)*VSUB1(A31+273.15,vapp(A31+273.15))*100</f>
        <v>850.57261956886543</v>
      </c>
    </row>
    <row r="32" spans="1:4" x14ac:dyDescent="0.25">
      <c r="A32">
        <v>250</v>
      </c>
      <c r="B32" s="27">
        <f>hsub1(A32+273.15,vapp(A32+273.15))</f>
        <v>1085.7838180660717</v>
      </c>
      <c r="C32" s="23">
        <f>B32-vapp(A32+273.15)*VSUB1(A32+273.15,vapp(A32+273.15))*100</f>
        <v>1080.8066964366615</v>
      </c>
    </row>
    <row r="35" spans="1:5" x14ac:dyDescent="0.25">
      <c r="A35" s="14" t="s">
        <v>136</v>
      </c>
    </row>
    <row r="36" spans="1:5" x14ac:dyDescent="0.25">
      <c r="A36" s="14" t="s">
        <v>125</v>
      </c>
      <c r="B36">
        <v>250</v>
      </c>
      <c r="C36" s="14" t="s">
        <v>128</v>
      </c>
      <c r="D36">
        <f>vapp(B36+273.15)</f>
        <v>39.775960190006934</v>
      </c>
    </row>
    <row r="37" spans="1:5" x14ac:dyDescent="0.25">
      <c r="A37" s="14" t="s">
        <v>124</v>
      </c>
      <c r="B37">
        <v>60</v>
      </c>
      <c r="C37" s="14" t="s">
        <v>138</v>
      </c>
      <c r="D37">
        <f>BOILP(B37)-273.15</f>
        <v>275.55986738204945</v>
      </c>
      <c r="E37" s="14" t="s">
        <v>139</v>
      </c>
    </row>
    <row r="38" spans="1:5" x14ac:dyDescent="0.25">
      <c r="A38" s="14" t="s">
        <v>137</v>
      </c>
      <c r="B38" s="14" t="s">
        <v>140</v>
      </c>
    </row>
    <row r="39" spans="1:5" x14ac:dyDescent="0.25">
      <c r="A39" s="14" t="s">
        <v>141</v>
      </c>
      <c r="B39">
        <f>hsub1(B36+273.15,B37)</f>
        <v>1085.7513377627508</v>
      </c>
      <c r="C39" s="14" t="s">
        <v>80</v>
      </c>
    </row>
    <row r="40" spans="1:5" x14ac:dyDescent="0.25">
      <c r="A40" s="14" t="s">
        <v>142</v>
      </c>
      <c r="B40">
        <f>hsub1(B36+273.15,D36)</f>
        <v>1085.7838180660717</v>
      </c>
    </row>
    <row r="42" spans="1:5" x14ac:dyDescent="0.25">
      <c r="A42" s="14" t="s">
        <v>143</v>
      </c>
    </row>
    <row r="43" spans="1:5" x14ac:dyDescent="0.25">
      <c r="A43" s="14" t="s">
        <v>125</v>
      </c>
      <c r="B43">
        <v>300</v>
      </c>
      <c r="C43" s="14" t="s">
        <v>128</v>
      </c>
      <c r="D43">
        <f>vapp(B43+273.15)</f>
        <v>85.916614341946101</v>
      </c>
    </row>
    <row r="44" spans="1:5" x14ac:dyDescent="0.25">
      <c r="A44" s="14" t="s">
        <v>124</v>
      </c>
      <c r="B44">
        <v>60</v>
      </c>
      <c r="C44" s="14" t="s">
        <v>138</v>
      </c>
      <c r="D44">
        <f>BOILP(B44)-273.15</f>
        <v>275.55986738204945</v>
      </c>
    </row>
    <row r="45" spans="1:5" x14ac:dyDescent="0.25">
      <c r="A45" s="14" t="s">
        <v>137</v>
      </c>
      <c r="B45" s="14" t="str">
        <f>IF(B44&lt;D43,"SUPERHEAT","COMPRESSED LIQUID")</f>
        <v>SUPERHEAT</v>
      </c>
    </row>
    <row r="46" spans="1:5" x14ac:dyDescent="0.25">
      <c r="A46" s="14" t="s">
        <v>141</v>
      </c>
      <c r="B46">
        <f>hsub2(B43+273.15,B44)</f>
        <v>2885.0051302926945</v>
      </c>
      <c r="C46" s="14" t="s">
        <v>80</v>
      </c>
    </row>
    <row r="47" spans="1:5" x14ac:dyDescent="0.25">
      <c r="A47" s="14" t="s">
        <v>144</v>
      </c>
      <c r="B47">
        <f>hsub2(B43+273.15,D43)</f>
        <v>2751.0947867833243</v>
      </c>
    </row>
    <row r="50" spans="1:5" x14ac:dyDescent="0.25">
      <c r="A50" s="14" t="s">
        <v>145</v>
      </c>
    </row>
    <row r="51" spans="1:5" x14ac:dyDescent="0.25">
      <c r="A51" s="14" t="s">
        <v>125</v>
      </c>
      <c r="B51">
        <v>250</v>
      </c>
      <c r="C51" s="14" t="s">
        <v>128</v>
      </c>
      <c r="D51">
        <f>vapp(B51+273.15)</f>
        <v>39.775960190006934</v>
      </c>
    </row>
    <row r="52" spans="1:5" x14ac:dyDescent="0.25">
      <c r="A52" s="14" t="s">
        <v>124</v>
      </c>
      <c r="B52">
        <v>60</v>
      </c>
      <c r="C52" s="14" t="s">
        <v>138</v>
      </c>
      <c r="D52">
        <f>BOILP(B52)-273.15</f>
        <v>275.55986738204945</v>
      </c>
      <c r="E52" s="14" t="s">
        <v>139</v>
      </c>
    </row>
    <row r="53" spans="1:5" x14ac:dyDescent="0.25">
      <c r="A53" s="14" t="s">
        <v>137</v>
      </c>
      <c r="B53" s="14" t="s">
        <v>140</v>
      </c>
    </row>
    <row r="54" spans="1:5" x14ac:dyDescent="0.25">
      <c r="A54" s="14" t="s">
        <v>146</v>
      </c>
      <c r="B54">
        <f>(B39-0)/(((B36+273.15)+(0+273.15))/2)</f>
        <v>2.7269906762846938</v>
      </c>
      <c r="C54" s="14"/>
      <c r="D54" s="23" t="s">
        <v>147</v>
      </c>
    </row>
    <row r="55" spans="1:5" x14ac:dyDescent="0.25">
      <c r="A55" s="14" t="s">
        <v>148</v>
      </c>
      <c r="B55">
        <f>sf(B51)</f>
        <v>2.7955995676031242</v>
      </c>
    </row>
    <row r="58" spans="1:5" x14ac:dyDescent="0.25">
      <c r="A58" s="14" t="s">
        <v>149</v>
      </c>
    </row>
    <row r="59" spans="1:5" x14ac:dyDescent="0.25">
      <c r="A59" s="14" t="s">
        <v>125</v>
      </c>
      <c r="B59">
        <v>300</v>
      </c>
      <c r="C59" s="14" t="s">
        <v>128</v>
      </c>
      <c r="D59">
        <f>vapp(B59+273.15)</f>
        <v>85.916614341946101</v>
      </c>
    </row>
    <row r="60" spans="1:5" x14ac:dyDescent="0.25">
      <c r="A60" s="14" t="s">
        <v>124</v>
      </c>
      <c r="B60">
        <v>60</v>
      </c>
      <c r="C60" s="14" t="s">
        <v>138</v>
      </c>
      <c r="D60">
        <f>BOILP(B60)-273.15</f>
        <v>275.55986738204945</v>
      </c>
    </row>
    <row r="61" spans="1:5" x14ac:dyDescent="0.25">
      <c r="A61" s="14" t="s">
        <v>137</v>
      </c>
      <c r="B61" s="14" t="str">
        <f>IF(B60&lt;D59,"SUPERHEAT","COMPRESSED LIQUID")</f>
        <v>SUPERHEAT</v>
      </c>
    </row>
    <row r="62" spans="1:5" x14ac:dyDescent="0.25">
      <c r="A62" s="14" t="s">
        <v>148</v>
      </c>
      <c r="B62">
        <f>(hsub1(D60+273.15,B60)-0)/((D60+273.15+(0+273.15))/2)</f>
        <v>2.9536610419074711</v>
      </c>
      <c r="D62" s="28" t="s">
        <v>152</v>
      </c>
    </row>
    <row r="63" spans="1:5" x14ac:dyDescent="0.25">
      <c r="A63" s="14" t="s">
        <v>150</v>
      </c>
      <c r="B63">
        <f>(hsub2(D60+273.15,B60)-hsub1(D60+273.15,B60))/(D60+273.15)</f>
        <v>2.8636356023383369</v>
      </c>
      <c r="D63" s="28" t="s">
        <v>153</v>
      </c>
    </row>
    <row r="64" spans="1:5" x14ac:dyDescent="0.25">
      <c r="A64" s="14" t="s">
        <v>151</v>
      </c>
      <c r="B64">
        <f>B62+B63</f>
        <v>5.8172966442458076</v>
      </c>
      <c r="D64" s="28" t="s">
        <v>155</v>
      </c>
    </row>
    <row r="65" spans="1:4" x14ac:dyDescent="0.25">
      <c r="A65" s="14" t="s">
        <v>154</v>
      </c>
      <c r="B65">
        <f>(hsub2(B59+273.15,B60)-(hsub2(D60+273.15,B60)))/(((B59+273.15)+(D60+273.15))/2)</f>
        <v>0.17819031683441361</v>
      </c>
      <c r="D65" s="28" t="s">
        <v>156</v>
      </c>
    </row>
    <row r="66" spans="1:4" x14ac:dyDescent="0.25">
      <c r="A66" s="14" t="s">
        <v>146</v>
      </c>
      <c r="B66">
        <f>B64+B65</f>
        <v>5.9954869610802213</v>
      </c>
      <c r="D66" s="28" t="s">
        <v>157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</vt:lpstr>
      <vt:lpstr>Usage</vt:lpstr>
      <vt:lpstr>Reference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Wasser</dc:title>
  <dc:subject>Stoffwerte fuer Wasser</dc:subject>
  <dc:creator>Bernhard Spang</dc:creator>
  <cp:lastModifiedBy>Ali Ashat</cp:lastModifiedBy>
  <dcterms:created xsi:type="dcterms:W3CDTF">2000-03-07T14:08:14Z</dcterms:created>
  <dcterms:modified xsi:type="dcterms:W3CDTF">2024-12-06T07:38:30Z</dcterms:modified>
</cp:coreProperties>
</file>