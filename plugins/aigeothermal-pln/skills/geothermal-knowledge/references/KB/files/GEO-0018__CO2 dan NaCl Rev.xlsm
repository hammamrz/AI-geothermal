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ias\Downloads\Training IP\"/>
    </mc:Choice>
  </mc:AlternateContent>
  <xr:revisionPtr revIDLastSave="0" documentId="13_ncr:1_{68B7D65B-E894-4479-B1C8-3ADD3F1B7E28}" xr6:coauthVersionLast="47" xr6:coauthVersionMax="47" xr10:uidLastSave="{00000000-0000-0000-0000-000000000000}"/>
  <bookViews>
    <workbookView xWindow="-14460" yWindow="-16395" windowWidth="29040" windowHeight="15720" firstSheet="1" activeTab="6" xr2:uid="{00000000-000D-0000-FFFF-FFFF00000000}"/>
  </bookViews>
  <sheets>
    <sheet name="Info" sheetId="1" r:id="rId1"/>
    <sheet name="Usage" sheetId="2" r:id="rId2"/>
    <sheet name="Sheet2" sheetId="6" r:id="rId3"/>
    <sheet name="Chart1" sheetId="8" r:id="rId4"/>
    <sheet name="Sheet3" sheetId="7" r:id="rId5"/>
    <sheet name="Sheet1" sheetId="5" r:id="rId6"/>
    <sheet name="Sheet4" sheetId="9" r:id="rId7"/>
    <sheet name="Reference" sheetId="3" r:id="rId8"/>
    <sheet name="waterprop" sheetId="4" state="veryHidden" r:id=""/>
  </sheets>
  <functionGroups builtInGroupCount="19"/>
  <calcPr calcId="191029"/>
</workbook>
</file>

<file path=xl/calcChain.xml><?xml version="1.0" encoding="utf-8"?>
<calcChain xmlns="http://schemas.openxmlformats.org/spreadsheetml/2006/main">
  <c r="I5" i="7" l="1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4" i="7"/>
  <c r="G2" i="7"/>
  <c r="I1" i="7" s="1"/>
  <c r="B18" i="5"/>
  <c r="B16" i="5"/>
  <c r="B17" i="5" s="1"/>
  <c r="B19" i="5" s="1"/>
  <c r="E26" i="7"/>
  <c r="B3" i="5"/>
  <c r="E7" i="7"/>
  <c r="D15" i="7"/>
  <c r="F31" i="3"/>
  <c r="E17" i="7"/>
  <c r="E24" i="7"/>
  <c r="B12" i="5"/>
  <c r="E9" i="7"/>
  <c r="D22" i="7"/>
  <c r="B8" i="5"/>
  <c r="D26" i="7"/>
  <c r="E16" i="7"/>
  <c r="D11" i="7"/>
  <c r="D4" i="7"/>
  <c r="D6" i="7"/>
  <c r="F130" i="3"/>
  <c r="E11" i="7"/>
  <c r="D19" i="7"/>
  <c r="D5" i="7"/>
  <c r="E4" i="7"/>
  <c r="B6" i="5"/>
  <c r="E21" i="7"/>
  <c r="E14" i="7"/>
  <c r="E12" i="7"/>
  <c r="B2" i="5"/>
  <c r="E5" i="7"/>
  <c r="D10" i="7"/>
  <c r="F47" i="3"/>
  <c r="E13" i="7"/>
  <c r="E15" i="7"/>
  <c r="D23" i="7"/>
  <c r="D17" i="7"/>
  <c r="D8" i="7"/>
  <c r="F114" i="3"/>
  <c r="D9" i="7"/>
  <c r="D21" i="7"/>
  <c r="F17" i="3"/>
  <c r="D25" i="7"/>
  <c r="B11" i="5"/>
  <c r="F97" i="3"/>
  <c r="E6" i="7"/>
  <c r="D14" i="7"/>
  <c r="E25" i="7"/>
  <c r="E19" i="7"/>
  <c r="D27" i="7"/>
  <c r="B5" i="5"/>
  <c r="D12" i="7"/>
  <c r="F80" i="3"/>
  <c r="F146" i="3"/>
  <c r="E27" i="7"/>
  <c r="D7" i="7"/>
  <c r="D24" i="7"/>
  <c r="F64" i="3"/>
  <c r="E10" i="7"/>
  <c r="D18" i="7"/>
  <c r="D13" i="7"/>
  <c r="E23" i="7"/>
  <c r="B14" i="5"/>
  <c r="E8" i="7"/>
  <c r="D16" i="7"/>
  <c r="D20" i="7"/>
  <c r="B9" i="5"/>
  <c r="E20" i="7"/>
  <c r="E18" i="7"/>
  <c r="E22" i="7"/>
  <c r="E4" i="9"/>
  <c r="B4" i="9"/>
  <c r="B20" i="5" l="1"/>
  <c r="I2" i="7"/>
  <c r="F7" i="7"/>
  <c r="F26" i="7"/>
  <c r="F20" i="7"/>
  <c r="F21" i="7"/>
  <c r="F23" i="7"/>
  <c r="F17" i="7"/>
  <c r="F18" i="7"/>
  <c r="F19" i="7"/>
  <c r="F14" i="7"/>
  <c r="F8" i="7"/>
  <c r="F24" i="7"/>
  <c r="F15" i="7"/>
  <c r="F16" i="7"/>
  <c r="F10" i="7"/>
  <c r="F5" i="7"/>
  <c r="F13" i="7"/>
  <c r="F12" i="7"/>
  <c r="F27" i="7"/>
  <c r="F11" i="7"/>
  <c r="F6" i="7"/>
  <c r="F4" i="7"/>
  <c r="F22" i="7"/>
  <c r="F9" i="7"/>
  <c r="F25" i="7"/>
  <c r="B21" i="5"/>
  <c r="G25" i="7" l="1"/>
  <c r="H25" i="7" s="1"/>
  <c r="G9" i="7"/>
  <c r="H9" i="7" s="1"/>
  <c r="G22" i="7"/>
  <c r="H22" i="7" s="1"/>
  <c r="G4" i="7"/>
  <c r="H4" i="7" s="1"/>
  <c r="G6" i="7"/>
  <c r="H6" i="7" s="1"/>
  <c r="G11" i="7"/>
  <c r="H11" i="7" s="1"/>
  <c r="G27" i="7"/>
  <c r="H27" i="7" s="1"/>
  <c r="G12" i="7"/>
  <c r="H12" i="7" s="1"/>
  <c r="G13" i="7"/>
  <c r="H13" i="7" s="1"/>
  <c r="G5" i="7"/>
  <c r="H5" i="7" s="1"/>
  <c r="G10" i="7"/>
  <c r="H10" i="7" s="1"/>
  <c r="G16" i="7"/>
  <c r="H16" i="7" s="1"/>
  <c r="G15" i="7"/>
  <c r="H15" i="7" s="1"/>
  <c r="G24" i="7"/>
  <c r="H24" i="7" s="1"/>
  <c r="G8" i="7"/>
  <c r="H8" i="7" s="1"/>
  <c r="G14" i="7"/>
  <c r="H14" i="7" s="1"/>
  <c r="G19" i="7"/>
  <c r="H19" i="7" s="1"/>
  <c r="G18" i="7"/>
  <c r="H18" i="7" s="1"/>
  <c r="G17" i="7"/>
  <c r="H17" i="7" s="1"/>
  <c r="G23" i="7"/>
  <c r="H23" i="7" s="1"/>
  <c r="G21" i="7"/>
  <c r="H21" i="7" s="1"/>
  <c r="G20" i="7"/>
  <c r="H20" i="7" s="1"/>
  <c r="G26" i="7"/>
  <c r="H26" i="7" s="1"/>
  <c r="G7" i="7"/>
  <c r="H7" i="7" s="1"/>
</calcChain>
</file>

<file path=xl/sharedStrings.xml><?xml version="1.0" encoding="utf-8"?>
<sst xmlns="http://schemas.openxmlformats.org/spreadsheetml/2006/main" count="244" uniqueCount="146">
  <si>
    <t>Properties of Water and Steam</t>
  </si>
  <si>
    <t xml:space="preserve">Authored by </t>
  </si>
  <si>
    <t>Bernhard Spang, The Mining Company</t>
  </si>
  <si>
    <t xml:space="preserve">URL: </t>
  </si>
  <si>
    <t>http://chemengineer.miningco.com</t>
  </si>
  <si>
    <t>email:</t>
  </si>
  <si>
    <t>chemengineer.guide@miningco.com</t>
  </si>
  <si>
    <t>Copyright 1997 by Bernhard Spang. All rights reserved.</t>
  </si>
  <si>
    <t xml:space="preserve">May be redistributed for free, but may not be changed or sold without the author's explicit permission.  </t>
  </si>
  <si>
    <t xml:space="preserve">Provided "as is" without warranty of any kind. </t>
  </si>
  <si>
    <t>This workbook contains Visual Basic functions for calculating properties of water and steam.</t>
  </si>
  <si>
    <t>Functions for the following properties are available:</t>
  </si>
  <si>
    <t xml:space="preserve">boiling point as a function of pressure, vapor pressure, specific volume or density, specific enthalpy, </t>
  </si>
  <si>
    <t>heat capacity, viscosity, and thermal conductivity.</t>
  </si>
  <si>
    <r>
      <t xml:space="preserve">See </t>
    </r>
    <r>
      <rPr>
        <b/>
        <sz val="10"/>
        <color indexed="10"/>
        <rFont val="Arial"/>
        <family val="2"/>
      </rPr>
      <t>Usage</t>
    </r>
    <r>
      <rPr>
        <sz val="10"/>
        <rFont val="Arial"/>
        <family val="2"/>
      </rPr>
      <t xml:space="preserve"> for an explanation of how to access the functions from within your spreadsheets.</t>
    </r>
  </si>
  <si>
    <r>
      <t xml:space="preserve">See </t>
    </r>
    <r>
      <rPr>
        <b/>
        <sz val="10"/>
        <color indexed="10"/>
        <rFont val="Arial"/>
        <family val="2"/>
      </rPr>
      <t>Reference</t>
    </r>
    <r>
      <rPr>
        <sz val="10"/>
        <rFont val="Arial"/>
        <family val="2"/>
      </rPr>
      <t xml:space="preserve"> for a list of available functions with syntax, arguments, units, and examples of use.</t>
    </r>
  </si>
  <si>
    <t>Note that the explanations given in this workbook relate to the use of the functions with source module sheet waterprop.</t>
  </si>
  <si>
    <t>For an explanation of how to use the functions with the Add-In file water.xla see the Readme file which accompanies water.xla.</t>
  </si>
  <si>
    <t>Source of equations:</t>
  </si>
  <si>
    <t xml:space="preserve">Properties of Water and Steam in SI-Units, </t>
  </si>
  <si>
    <t>2nd Revised and Updated Printing, Springer 1979, pp. 175 ff.</t>
  </si>
  <si>
    <t>Usage</t>
  </si>
  <si>
    <t>Property data are available by calling the appropriate property function using the syntax</t>
  </si>
  <si>
    <r>
      <t>=water.xls!waterprop</t>
    </r>
    <r>
      <rPr>
        <b/>
        <i/>
        <sz val="10"/>
        <color indexed="12"/>
        <rFont val="Arial"/>
        <family val="2"/>
      </rPr>
      <t>.functionname</t>
    </r>
    <r>
      <rPr>
        <b/>
        <sz val="10"/>
        <color indexed="12"/>
        <rFont val="Arial"/>
        <family val="2"/>
      </rPr>
      <t>(</t>
    </r>
    <r>
      <rPr>
        <b/>
        <i/>
        <sz val="10"/>
        <color indexed="12"/>
        <rFont val="Arial"/>
        <family val="2"/>
      </rPr>
      <t>parameterlist</t>
    </r>
    <r>
      <rPr>
        <b/>
        <sz val="10"/>
        <color indexed="12"/>
        <rFont val="Arial"/>
        <family val="2"/>
      </rPr>
      <t>)</t>
    </r>
  </si>
  <si>
    <t>where</t>
  </si>
  <si>
    <r>
      <t>functionname</t>
    </r>
    <r>
      <rPr>
        <sz val="10"/>
        <rFont val="Arial"/>
        <family val="2"/>
      </rPr>
      <t xml:space="preserve"> is the name of the function (see Reference)</t>
    </r>
  </si>
  <si>
    <t>and</t>
  </si>
  <si>
    <r>
      <t>parameterlist</t>
    </r>
    <r>
      <rPr>
        <sz val="10"/>
        <rFont val="Arial"/>
        <family val="2"/>
      </rPr>
      <t xml:space="preserve"> is the list of arguments for this function</t>
    </r>
  </si>
  <si>
    <r>
      <t xml:space="preserve">If the Visual Basic module </t>
    </r>
    <r>
      <rPr>
        <b/>
        <sz val="10"/>
        <color indexed="12"/>
        <rFont val="Arial"/>
        <family val="2"/>
      </rPr>
      <t>waterprop</t>
    </r>
    <r>
      <rPr>
        <sz val="10"/>
        <rFont val="Arial"/>
        <family val="2"/>
      </rPr>
      <t xml:space="preserve"> is copied from </t>
    </r>
    <r>
      <rPr>
        <b/>
        <sz val="10"/>
        <color indexed="12"/>
        <rFont val="Arial"/>
        <family val="2"/>
      </rPr>
      <t>water.xls</t>
    </r>
    <r>
      <rPr>
        <sz val="10"/>
        <rFont val="Arial"/>
        <family val="2"/>
      </rPr>
      <t xml:space="preserve"> to the Excel workbook </t>
    </r>
  </si>
  <si>
    <t>where property data are needed the simplified syntax is</t>
  </si>
  <si>
    <r>
      <t>=waterprop</t>
    </r>
    <r>
      <rPr>
        <b/>
        <i/>
        <sz val="10"/>
        <color indexed="12"/>
        <rFont val="Arial"/>
        <family val="2"/>
      </rPr>
      <t>.functionname</t>
    </r>
    <r>
      <rPr>
        <b/>
        <sz val="10"/>
        <color indexed="12"/>
        <rFont val="Arial"/>
        <family val="2"/>
      </rPr>
      <t>(</t>
    </r>
    <r>
      <rPr>
        <b/>
        <i/>
        <sz val="10"/>
        <color indexed="12"/>
        <rFont val="Arial"/>
        <family val="2"/>
      </rPr>
      <t>parameterlist</t>
    </r>
    <r>
      <rPr>
        <b/>
        <sz val="10"/>
        <color indexed="12"/>
        <rFont val="Arial"/>
        <family val="2"/>
      </rPr>
      <t>)</t>
    </r>
  </si>
  <si>
    <t>Reference</t>
  </si>
  <si>
    <t>Available functions:</t>
  </si>
  <si>
    <t>1. Boiling point as a function of pressure</t>
  </si>
  <si>
    <t>a) Usage:</t>
  </si>
  <si>
    <t>waterprop.BOILP(P)</t>
  </si>
  <si>
    <t>b) Argument(s):</t>
  </si>
  <si>
    <t>P</t>
  </si>
  <si>
    <t>pressure in bar</t>
  </si>
  <si>
    <t xml:space="preserve">c) Unit: </t>
  </si>
  <si>
    <t>boiling point in K</t>
  </si>
  <si>
    <t>d) Range of validity:</t>
  </si>
  <si>
    <t>0.01 bar &lt; p &lt; 220 bar</t>
  </si>
  <si>
    <t>e) Example:</t>
  </si>
  <si>
    <t>Boiling point of water at 1 bar in °C</t>
  </si>
  <si>
    <t xml:space="preserve">Formula in worksheet cell: </t>
  </si>
  <si>
    <t>=waterprop.BOILP(1)-273.15</t>
  </si>
  <si>
    <t>And the result is:</t>
  </si>
  <si>
    <t>°C</t>
  </si>
  <si>
    <t>2. Vapor pressure</t>
  </si>
  <si>
    <t>waterprop.VAPP(T)</t>
  </si>
  <si>
    <t>T</t>
  </si>
  <si>
    <t>temperature in K</t>
  </si>
  <si>
    <t>vapor pressure in bar</t>
  </si>
  <si>
    <t>273.16 K &lt; T &lt; 623 K</t>
  </si>
  <si>
    <t>Vapor pressure of water at 100 °C</t>
  </si>
  <si>
    <t>=waterprop.VAPP(373.15)</t>
  </si>
  <si>
    <t>bar</t>
  </si>
  <si>
    <t>3. Specific volume (or density) of liquid water</t>
  </si>
  <si>
    <t>waterprop.VSUB1(T; P)</t>
  </si>
  <si>
    <t xml:space="preserve">T </t>
  </si>
  <si>
    <r>
      <t>specific volume in 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>/kg</t>
    </r>
  </si>
  <si>
    <t>273.16 K &lt; T &lt; 623.15 K</t>
  </si>
  <si>
    <t>vapor pressure &lt; p &lt; 1000 bar</t>
  </si>
  <si>
    <t>Density of water at 20 °C and 1 bar</t>
  </si>
  <si>
    <t>=1/waterprop.VSUB1(293.15; 1)</t>
  </si>
  <si>
    <r>
      <t>kg/m</t>
    </r>
    <r>
      <rPr>
        <vertAlign val="superscript"/>
        <sz val="10"/>
        <rFont val="Arial"/>
        <family val="2"/>
      </rPr>
      <t>3</t>
    </r>
  </si>
  <si>
    <t>4. Specific volume (or density) of steam</t>
  </si>
  <si>
    <t>waterprop.VSUB2(T; P)</t>
  </si>
  <si>
    <t xml:space="preserve">273.16 K &lt; T &lt; 1073.15 K </t>
  </si>
  <si>
    <t>0 &lt; p &lt; vapor pressure</t>
  </si>
  <si>
    <t>Specific volume of saturated vapor at 5 bar</t>
  </si>
  <si>
    <t>Note the use of BOILP for determining the boiling point</t>
  </si>
  <si>
    <t>=waterprop.VSUB2(waterprop.BOILP(5);5)</t>
  </si>
  <si>
    <r>
      <t>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>/kg</t>
    </r>
  </si>
  <si>
    <t>5. Specific enthalpy of liquid water</t>
  </si>
  <si>
    <t>waterprop.HSUB1(T; P)</t>
  </si>
  <si>
    <t>specific enthalpy in kJ/kg</t>
  </si>
  <si>
    <t>Enthalpy of water at 20 °C and 1 bar</t>
  </si>
  <si>
    <t xml:space="preserve"> =waterprop.HSUB1(293.15; 1)</t>
  </si>
  <si>
    <t>kJ/kg</t>
  </si>
  <si>
    <t>6. Specific enthalpy of steam</t>
  </si>
  <si>
    <t>waterprop.HSUB2(T; P)</t>
  </si>
  <si>
    <t>Enthalpy of saturated vapor at 5 bar</t>
  </si>
  <si>
    <t>=waterprop.HSUB2(waterprop.BOILP(5);5)</t>
  </si>
  <si>
    <t>7. Heat capacity</t>
  </si>
  <si>
    <t>waterprop.HCAP(T; P; IAG)</t>
  </si>
  <si>
    <t>IAG</t>
  </si>
  <si>
    <t>state: 1 for liquid water, 2 for steam</t>
  </si>
  <si>
    <t>heat capacity in kJ/(kg K)</t>
  </si>
  <si>
    <t>0 &lt; p &lt; 1000 bar</t>
  </si>
  <si>
    <t>Heat capacity of water at 20 °C and 1 bar</t>
  </si>
  <si>
    <t xml:space="preserve"> =waterprop.HCAP(293.15;1;1)</t>
  </si>
  <si>
    <t>kJ/(kg K)</t>
  </si>
  <si>
    <t>8. Dynamic viscosity</t>
  </si>
  <si>
    <t>waterprop.ETAF(T; V)</t>
  </si>
  <si>
    <t>V</t>
  </si>
  <si>
    <t>specific volume in m3/kg</t>
  </si>
  <si>
    <r>
      <t>dynamic viscosity in 10</t>
    </r>
    <r>
      <rPr>
        <vertAlign val="superscript"/>
        <sz val="10"/>
        <rFont val="Arial"/>
        <family val="2"/>
      </rPr>
      <t>-6</t>
    </r>
    <r>
      <rPr>
        <sz val="10"/>
        <rFont val="Arial"/>
        <family val="2"/>
      </rPr>
      <t xml:space="preserve"> Pa s</t>
    </r>
  </si>
  <si>
    <t>0 °C &lt; T &lt; 800 °C</t>
  </si>
  <si>
    <t>p &lt; 1000 bar</t>
  </si>
  <si>
    <t>Viscosity of water at 20 °C and 1 bar</t>
  </si>
  <si>
    <t xml:space="preserve"> =waterprop.ETAF(293.15; waterprop.VSUB1(293.15;1))</t>
  </si>
  <si>
    <t>Pa s</t>
  </si>
  <si>
    <t>9. Thermal conductivity</t>
  </si>
  <si>
    <t>waterprop.TCON(T; V)</t>
  </si>
  <si>
    <t>thermal conductivity W /(K m)</t>
  </si>
  <si>
    <t>0 °C &lt; T &lt; 1500 °C</t>
  </si>
  <si>
    <t>p &lt; 3000 bar</t>
  </si>
  <si>
    <t>Thermal conductivity of saturated vapor at 5 bar</t>
  </si>
  <si>
    <t xml:space="preserve"> =waterprop.TCON(BOILP(5); waterprop.VSUB2(BOILP(5);5))</t>
  </si>
  <si>
    <t>W/(K m)</t>
  </si>
  <si>
    <t>Tekanan Sat =</t>
  </si>
  <si>
    <t>Temperature =</t>
  </si>
  <si>
    <t>deg-C</t>
  </si>
  <si>
    <t>Tek Sat 1m NaCl =</t>
  </si>
  <si>
    <t>Densitas Air Murni =</t>
  </si>
  <si>
    <t>kg/cu-m</t>
  </si>
  <si>
    <t>Densitas Air + 2m NaCl =</t>
  </si>
  <si>
    <t>Viscositas Air Murni =</t>
  </si>
  <si>
    <t>Viscositas Air + 2m NaCl =</t>
  </si>
  <si>
    <t>Enthalpy Air Murni =</t>
  </si>
  <si>
    <t>Enthalpy Air Murni + 2m NaCl=</t>
  </si>
  <si>
    <t>KH @ 2m =</t>
  </si>
  <si>
    <t>CO2 5% weight</t>
  </si>
  <si>
    <t>ppm =</t>
  </si>
  <si>
    <t>mol CO2 =</t>
  </si>
  <si>
    <t>mol H2O =</t>
  </si>
  <si>
    <t>fraksi mol CO2 =</t>
  </si>
  <si>
    <t>Pco2 =</t>
  </si>
  <si>
    <t>P sistem =</t>
  </si>
  <si>
    <t>Depth</t>
  </si>
  <si>
    <t>Temperature</t>
  </si>
  <si>
    <t>Pressure</t>
  </si>
  <si>
    <t>Boiling Point</t>
  </si>
  <si>
    <t>KH</t>
  </si>
  <si>
    <t>Pc</t>
  </si>
  <si>
    <t>Psat</t>
  </si>
  <si>
    <t>% berat CO2 =</t>
  </si>
  <si>
    <t>m CO2 =</t>
  </si>
  <si>
    <t>Ptot</t>
  </si>
  <si>
    <t>NaCl</t>
  </si>
  <si>
    <t>Air Murni</t>
  </si>
  <si>
    <t>T =</t>
  </si>
  <si>
    <t>Psat =</t>
  </si>
  <si>
    <t>molal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</si>
</sst>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"/>
    <numFmt numFmtId="165" formatCode="0.0"/>
    <numFmt numFmtId="166" formatCode="0.0000"/>
    <numFmt numFmtId="167" formatCode="0.000E+00"/>
    <numFmt numFmtId="168" formatCode="0.00000"/>
    <numFmt numFmtId="169" formatCode="0.000000000"/>
  </numFmts>
  <fonts count="13" x14ac:knownFonts="1">
    <font>
      <sz val="10"/>
      <name val="Arial"/>
    </font>
    <font>
      <b/>
      <sz val="14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vertAlign val="superscript"/>
      <sz val="10"/>
      <name val="Arial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10"/>
      <color indexed="12"/>
      <name val="Arial"/>
      <family val="2"/>
    </font>
    <font>
      <b/>
      <sz val="12"/>
      <name val="Arial"/>
      <family val="2"/>
    </font>
    <font>
      <b/>
      <i/>
      <sz val="10"/>
      <color indexed="12"/>
      <name val="Arial"/>
      <family val="2"/>
    </font>
    <font>
      <sz val="8"/>
      <name val="Arial"/>
      <family val="2"/>
    </font>
    <font>
      <sz val="11"/>
      <name val="Trebuchet MS"/>
      <family val="2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3" fillId="0" borderId="0" xfId="0" applyFont="1"/>
    <xf numFmtId="0" fontId="4" fillId="0" borderId="0" xfId="0" applyFont="1"/>
    <xf numFmtId="0" fontId="4" fillId="0" borderId="0" xfId="0" applyFont="1" applyAlignment="1">
      <alignment wrapText="1"/>
    </xf>
    <xf numFmtId="0" fontId="6" fillId="0" borderId="0" xfId="0" applyFont="1"/>
    <xf numFmtId="49" fontId="3" fillId="0" borderId="0" xfId="0" applyNumberFormat="1" applyFont="1"/>
    <xf numFmtId="0" fontId="7" fillId="0" borderId="0" xfId="0" applyFont="1"/>
    <xf numFmtId="2" fontId="8" fillId="0" borderId="0" xfId="0" applyNumberFormat="1" applyFont="1"/>
    <xf numFmtId="164" fontId="8" fillId="0" borderId="0" xfId="0" applyNumberFormat="1" applyFont="1"/>
    <xf numFmtId="165" fontId="8" fillId="0" borderId="0" xfId="0" applyNumberFormat="1" applyFont="1"/>
    <xf numFmtId="166" fontId="8" fillId="0" borderId="0" xfId="0" applyNumberFormat="1" applyFont="1"/>
    <xf numFmtId="167" fontId="8" fillId="0" borderId="0" xfId="0" applyNumberFormat="1" applyFont="1"/>
    <xf numFmtId="0" fontId="2" fillId="0" borderId="0" xfId="0" applyFont="1"/>
    <xf numFmtId="0" fontId="2" fillId="0" borderId="0" xfId="0" applyFont="1" applyAlignment="1">
      <alignment wrapText="1"/>
    </xf>
    <xf numFmtId="0" fontId="9" fillId="2" borderId="0" xfId="0" applyFont="1" applyFill="1" applyAlignment="1">
      <alignment horizontal="centerContinuous"/>
    </xf>
    <xf numFmtId="0" fontId="0" fillId="0" borderId="0" xfId="0" applyAlignment="1">
      <alignment horizontal="centerContinuous"/>
    </xf>
    <xf numFmtId="0" fontId="4" fillId="0" borderId="0" xfId="0" applyFont="1" applyAlignment="1">
      <alignment horizontal="centerContinuous" wrapText="1"/>
    </xf>
    <xf numFmtId="0" fontId="2" fillId="0" borderId="0" xfId="0" applyFont="1" applyAlignment="1">
      <alignment horizontal="centerContinuous" wrapText="1"/>
    </xf>
    <xf numFmtId="0" fontId="1" fillId="2" borderId="0" xfId="0" applyFont="1" applyFill="1" applyAlignment="1">
      <alignment horizontal="centerContinuous"/>
    </xf>
    <xf numFmtId="49" fontId="3" fillId="0" borderId="0" xfId="0" applyNumberFormat="1" applyFont="1" applyAlignment="1">
      <alignment horizontal="centerContinuous"/>
    </xf>
    <xf numFmtId="0" fontId="10" fillId="0" borderId="0" xfId="0" applyFont="1"/>
    <xf numFmtId="168" fontId="0" fillId="0" borderId="0" xfId="0" applyNumberFormat="1"/>
    <xf numFmtId="0" fontId="12" fillId="0" borderId="0" xfId="0" applyFont="1" applyAlignment="1">
      <alignment horizontal="justify"/>
    </xf>
    <xf numFmtId="169" fontId="12" fillId="0" borderId="0" xfId="0" applyNumberFormat="1" applyFont="1"/>
    <xf numFmtId="0" fontId="12" fillId="0" borderId="0" xfId="0" applyFont="1"/>
    <xf numFmtId="2" fontId="0" fillId="0" borderId="0" xfId="0" applyNumberFormat="1"/>
    <xf numFmtId="2" fontId="8" fillId="0" borderId="0" xfId="0" applyNumberFormat="1" applyFont="1" applyAlignment="1">
      <alignment horizontal="center"/>
    </xf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4.xml"/><Relationship Id="rId10" Type="http://schemas.openxmlformats.org/officeDocument/2006/relationships/styles" Target="styles.xml"/><Relationship Id="rId4" Type="http://schemas.openxmlformats.org/officeDocument/2006/relationships/chartsheet" Target="chartsheets/sheet1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405345211581285E-2"/>
          <c:y val="0.10603588907014681"/>
          <c:w val="0.86636971046770606"/>
          <c:h val="0.85970636215334417"/>
        </c:manualLayout>
      </c:layout>
      <c:scatterChart>
        <c:scatterStyle val="lineMarker"/>
        <c:varyColors val="0"/>
        <c:ser>
          <c:idx val="0"/>
          <c:order val="0"/>
          <c:tx>
            <c:v>Tekanan Survey</c:v>
          </c:tx>
          <c:spPr>
            <a:ln w="3175">
              <a:solidFill>
                <a:srgbClr val="008000"/>
              </a:solidFill>
              <a:prstDash val="solid"/>
            </a:ln>
          </c:spPr>
          <c:marker>
            <c:symbol val="diamond"/>
            <c:size val="7"/>
            <c:spPr>
              <a:noFill/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Sheet3!$B$4:$B$27</c:f>
              <c:numCache>
                <c:formatCode>0.00</c:formatCode>
                <c:ptCount val="24"/>
                <c:pt idx="0">
                  <c:v>48.7310084123</c:v>
                </c:pt>
                <c:pt idx="1">
                  <c:v>50.924578436090002</c:v>
                </c:pt>
                <c:pt idx="2">
                  <c:v>53.086357589970007</c:v>
                </c:pt>
                <c:pt idx="3">
                  <c:v>54.326201516459996</c:v>
                </c:pt>
                <c:pt idx="4">
                  <c:v>54.453364996100007</c:v>
                </c:pt>
                <c:pt idx="5">
                  <c:v>54.548737605829999</c:v>
                </c:pt>
                <c:pt idx="6">
                  <c:v>54.866646304930001</c:v>
                </c:pt>
                <c:pt idx="7">
                  <c:v>55.089182394300003</c:v>
                </c:pt>
                <c:pt idx="8">
                  <c:v>55.375300223490001</c:v>
                </c:pt>
                <c:pt idx="9">
                  <c:v>55.597836312860004</c:v>
                </c:pt>
                <c:pt idx="10">
                  <c:v>55.7249997925</c:v>
                </c:pt>
                <c:pt idx="11">
                  <c:v>55.883954142050001</c:v>
                </c:pt>
                <c:pt idx="12">
                  <c:v>55.979326751779993</c:v>
                </c:pt>
                <c:pt idx="13">
                  <c:v>56.201862841149996</c:v>
                </c:pt>
                <c:pt idx="14">
                  <c:v>56.297235450879995</c:v>
                </c:pt>
                <c:pt idx="15">
                  <c:v>56.901261979170002</c:v>
                </c:pt>
                <c:pt idx="16">
                  <c:v>56.901261979170002</c:v>
                </c:pt>
                <c:pt idx="17">
                  <c:v>63.195854221350004</c:v>
                </c:pt>
                <c:pt idx="18">
                  <c:v>66.215986862800008</c:v>
                </c:pt>
                <c:pt idx="19">
                  <c:v>68.981792544970006</c:v>
                </c:pt>
                <c:pt idx="20">
                  <c:v>71.525062137769993</c:v>
                </c:pt>
                <c:pt idx="21">
                  <c:v>74.036540860660011</c:v>
                </c:pt>
                <c:pt idx="22">
                  <c:v>76.166529144630005</c:v>
                </c:pt>
                <c:pt idx="23">
                  <c:v>77.978608729499996</c:v>
                </c:pt>
              </c:numCache>
            </c:numRef>
          </c:xVal>
          <c:yVal>
            <c:numRef>
              <c:f>Sheet3!$A$4:$A$27</c:f>
              <c:numCache>
                <c:formatCode>General</c:formatCode>
                <c:ptCount val="24"/>
                <c:pt idx="0">
                  <c:v>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850</c:v>
                </c:pt>
                <c:pt idx="6">
                  <c:v>900</c:v>
                </c:pt>
                <c:pt idx="7">
                  <c:v>950</c:v>
                </c:pt>
                <c:pt idx="8">
                  <c:v>1000</c:v>
                </c:pt>
                <c:pt idx="9">
                  <c:v>1050</c:v>
                </c:pt>
                <c:pt idx="10">
                  <c:v>1100</c:v>
                </c:pt>
                <c:pt idx="11">
                  <c:v>1150</c:v>
                </c:pt>
                <c:pt idx="12">
                  <c:v>1200</c:v>
                </c:pt>
                <c:pt idx="13">
                  <c:v>1250</c:v>
                </c:pt>
                <c:pt idx="14">
                  <c:v>1300</c:v>
                </c:pt>
                <c:pt idx="15">
                  <c:v>1350</c:v>
                </c:pt>
                <c:pt idx="16">
                  <c:v>1400</c:v>
                </c:pt>
                <c:pt idx="17">
                  <c:v>1450</c:v>
                </c:pt>
                <c:pt idx="18">
                  <c:v>1500</c:v>
                </c:pt>
                <c:pt idx="19">
                  <c:v>1550</c:v>
                </c:pt>
                <c:pt idx="20">
                  <c:v>1600</c:v>
                </c:pt>
                <c:pt idx="21">
                  <c:v>1650</c:v>
                </c:pt>
                <c:pt idx="22">
                  <c:v>1700</c:v>
                </c:pt>
                <c:pt idx="23">
                  <c:v>1740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C2-4FDE-869D-8985E021F19C}"/>
            </c:ext>
          </c:extLst>
        </c:ser>
        <c:ser>
          <c:idx val="1"/>
          <c:order val="1"/>
          <c:tx>
            <c:v>Temperature Survey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7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Sheet3!$C$4:$C$27</c:f>
              <c:numCache>
                <c:formatCode>0.00</c:formatCode>
                <c:ptCount val="24"/>
                <c:pt idx="0">
                  <c:v>18.936061970000001</c:v>
                </c:pt>
                <c:pt idx="1">
                  <c:v>39.964628195000003</c:v>
                </c:pt>
                <c:pt idx="2">
                  <c:v>73.830858445000004</c:v>
                </c:pt>
                <c:pt idx="3">
                  <c:v>84.463279570000012</c:v>
                </c:pt>
                <c:pt idx="4">
                  <c:v>105.72812182</c:v>
                </c:pt>
                <c:pt idx="5">
                  <c:v>217.329164295</c:v>
                </c:pt>
                <c:pt idx="6">
                  <c:v>227.25275734499999</c:v>
                </c:pt>
                <c:pt idx="7">
                  <c:v>233.15965796999998</c:v>
                </c:pt>
                <c:pt idx="8">
                  <c:v>235.99497026999998</c:v>
                </c:pt>
                <c:pt idx="9">
                  <c:v>241.58683619499999</c:v>
                </c:pt>
                <c:pt idx="10">
                  <c:v>245.91856332</c:v>
                </c:pt>
                <c:pt idx="11">
                  <c:v>249.46270369499999</c:v>
                </c:pt>
                <c:pt idx="12">
                  <c:v>252.770568045</c:v>
                </c:pt>
                <c:pt idx="13">
                  <c:v>255.76339769500001</c:v>
                </c:pt>
                <c:pt idx="14">
                  <c:v>256.15719107000001</c:v>
                </c:pt>
                <c:pt idx="15">
                  <c:v>255.52712166999999</c:v>
                </c:pt>
                <c:pt idx="16">
                  <c:v>258.36243396999998</c:v>
                </c:pt>
                <c:pt idx="17">
                  <c:v>268.83733774500001</c:v>
                </c:pt>
                <c:pt idx="18">
                  <c:v>270.64878727000001</c:v>
                </c:pt>
                <c:pt idx="19">
                  <c:v>271.12133932</c:v>
                </c:pt>
                <c:pt idx="20">
                  <c:v>271.12133932</c:v>
                </c:pt>
                <c:pt idx="21">
                  <c:v>271.90892607000001</c:v>
                </c:pt>
                <c:pt idx="22">
                  <c:v>271.98768474499997</c:v>
                </c:pt>
                <c:pt idx="23">
                  <c:v>272.30271944499998</c:v>
                </c:pt>
              </c:numCache>
            </c:numRef>
          </c:xVal>
          <c:yVal>
            <c:numRef>
              <c:f>Sheet3!$A$4:$A$27</c:f>
              <c:numCache>
                <c:formatCode>General</c:formatCode>
                <c:ptCount val="24"/>
                <c:pt idx="0">
                  <c:v>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850</c:v>
                </c:pt>
                <c:pt idx="6">
                  <c:v>900</c:v>
                </c:pt>
                <c:pt idx="7">
                  <c:v>950</c:v>
                </c:pt>
                <c:pt idx="8">
                  <c:v>1000</c:v>
                </c:pt>
                <c:pt idx="9">
                  <c:v>1050</c:v>
                </c:pt>
                <c:pt idx="10">
                  <c:v>1100</c:v>
                </c:pt>
                <c:pt idx="11">
                  <c:v>1150</c:v>
                </c:pt>
                <c:pt idx="12">
                  <c:v>1200</c:v>
                </c:pt>
                <c:pt idx="13">
                  <c:v>1250</c:v>
                </c:pt>
                <c:pt idx="14">
                  <c:v>1300</c:v>
                </c:pt>
                <c:pt idx="15">
                  <c:v>1350</c:v>
                </c:pt>
                <c:pt idx="16">
                  <c:v>1400</c:v>
                </c:pt>
                <c:pt idx="17">
                  <c:v>1450</c:v>
                </c:pt>
                <c:pt idx="18">
                  <c:v>1500</c:v>
                </c:pt>
                <c:pt idx="19">
                  <c:v>1550</c:v>
                </c:pt>
                <c:pt idx="20">
                  <c:v>1600</c:v>
                </c:pt>
                <c:pt idx="21">
                  <c:v>1650</c:v>
                </c:pt>
                <c:pt idx="22">
                  <c:v>1700</c:v>
                </c:pt>
                <c:pt idx="23">
                  <c:v>1740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CC2-4FDE-869D-8985E021F19C}"/>
            </c:ext>
          </c:extLst>
        </c:ser>
        <c:ser>
          <c:idx val="2"/>
          <c:order val="2"/>
          <c:tx>
            <c:v>Temperature Saturasi</c:v>
          </c:tx>
          <c:spPr>
            <a:ln w="3175">
              <a:solidFill>
                <a:srgbClr val="3333CC"/>
              </a:solidFill>
              <a:prstDash val="solid"/>
            </a:ln>
          </c:spPr>
          <c:marker>
            <c:symbol val="triangle"/>
            <c:size val="7"/>
            <c:spPr>
              <a:noFill/>
              <a:ln>
                <a:solidFill>
                  <a:srgbClr val="3333CC"/>
                </a:solidFill>
                <a:prstDash val="solid"/>
              </a:ln>
            </c:spPr>
          </c:marker>
          <c:xVal>
            <c:numRef>
              <c:f>Sheet3!$D$4:$D$27</c:f>
              <c:numCache>
                <c:formatCode>0.00</c:formatCode>
                <c:ptCount val="24"/>
                <c:pt idx="0">
                  <c:v>262.3155604362488</c:v>
                </c:pt>
                <c:pt idx="1">
                  <c:v>265.06429967880251</c:v>
                </c:pt>
                <c:pt idx="2">
                  <c:v>267.68644304275506</c:v>
                </c:pt>
                <c:pt idx="3">
                  <c:v>269.15383615493772</c:v>
                </c:pt>
                <c:pt idx="4">
                  <c:v>269.30281362533572</c:v>
                </c:pt>
                <c:pt idx="5">
                  <c:v>269.41472158432009</c:v>
                </c:pt>
                <c:pt idx="6">
                  <c:v>269.78541669845561</c:v>
                </c:pt>
                <c:pt idx="7">
                  <c:v>270.0442038536072</c:v>
                </c:pt>
                <c:pt idx="8">
                  <c:v>270.37573118209832</c:v>
                </c:pt>
                <c:pt idx="9">
                  <c:v>270.63242006301869</c:v>
                </c:pt>
                <c:pt idx="10">
                  <c:v>270.77929925918568</c:v>
                </c:pt>
                <c:pt idx="11">
                  <c:v>270.96184911727926</c:v>
                </c:pt>
                <c:pt idx="12">
                  <c:v>271.07095937728889</c:v>
                </c:pt>
                <c:pt idx="13">
                  <c:v>271.32554998397825</c:v>
                </c:pt>
                <c:pt idx="14">
                  <c:v>271.43466024398788</c:v>
                </c:pt>
                <c:pt idx="15">
                  <c:v>272.12149534225443</c:v>
                </c:pt>
                <c:pt idx="16">
                  <c:v>272.12149534225443</c:v>
                </c:pt>
                <c:pt idx="17">
                  <c:v>278.96606588363659</c:v>
                </c:pt>
                <c:pt idx="18">
                  <c:v>282.06591634750373</c:v>
                </c:pt>
                <c:pt idx="19">
                  <c:v>284.8118578910827</c:v>
                </c:pt>
                <c:pt idx="20">
                  <c:v>287.26334161758416</c:v>
                </c:pt>
                <c:pt idx="21">
                  <c:v>289.61970357894904</c:v>
                </c:pt>
                <c:pt idx="22">
                  <c:v>291.57039918899534</c:v>
                </c:pt>
                <c:pt idx="23">
                  <c:v>293.19726114273078</c:v>
                </c:pt>
              </c:numCache>
            </c:numRef>
          </c:xVal>
          <c:yVal>
            <c:numRef>
              <c:f>Sheet3!$A$4:$A$27</c:f>
              <c:numCache>
                <c:formatCode>General</c:formatCode>
                <c:ptCount val="24"/>
                <c:pt idx="0">
                  <c:v>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850</c:v>
                </c:pt>
                <c:pt idx="6">
                  <c:v>900</c:v>
                </c:pt>
                <c:pt idx="7">
                  <c:v>950</c:v>
                </c:pt>
                <c:pt idx="8">
                  <c:v>1000</c:v>
                </c:pt>
                <c:pt idx="9">
                  <c:v>1050</c:v>
                </c:pt>
                <c:pt idx="10">
                  <c:v>1100</c:v>
                </c:pt>
                <c:pt idx="11">
                  <c:v>1150</c:v>
                </c:pt>
                <c:pt idx="12">
                  <c:v>1200</c:v>
                </c:pt>
                <c:pt idx="13">
                  <c:v>1250</c:v>
                </c:pt>
                <c:pt idx="14">
                  <c:v>1300</c:v>
                </c:pt>
                <c:pt idx="15">
                  <c:v>1350</c:v>
                </c:pt>
                <c:pt idx="16">
                  <c:v>1400</c:v>
                </c:pt>
                <c:pt idx="17">
                  <c:v>1450</c:v>
                </c:pt>
                <c:pt idx="18">
                  <c:v>1500</c:v>
                </c:pt>
                <c:pt idx="19">
                  <c:v>1550</c:v>
                </c:pt>
                <c:pt idx="20">
                  <c:v>1600</c:v>
                </c:pt>
                <c:pt idx="21">
                  <c:v>1650</c:v>
                </c:pt>
                <c:pt idx="22">
                  <c:v>1700</c:v>
                </c:pt>
                <c:pt idx="23">
                  <c:v>1740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CC2-4FDE-869D-8985E021F19C}"/>
            </c:ext>
          </c:extLst>
        </c:ser>
        <c:ser>
          <c:idx val="3"/>
          <c:order val="3"/>
          <c:tx>
            <c:v>Tekanan dgn CO2</c:v>
          </c:tx>
          <c:spPr>
            <a:ln w="3175">
              <a:solidFill>
                <a:srgbClr val="800000"/>
              </a:solidFill>
              <a:prstDash val="solid"/>
            </a:ln>
          </c:spPr>
          <c:marker>
            <c:symbol val="x"/>
            <c:size val="7"/>
            <c:spPr>
              <a:noFill/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Sheet3!$H$4:$H$27</c:f>
              <c:numCache>
                <c:formatCode>0.00</c:formatCode>
                <c:ptCount val="24"/>
                <c:pt idx="0">
                  <c:v>4.2490067922080206</c:v>
                </c:pt>
                <c:pt idx="1">
                  <c:v>7.042845798429016</c:v>
                </c:pt>
                <c:pt idx="2">
                  <c:v>12.115633120100968</c:v>
                </c:pt>
                <c:pt idx="3">
                  <c:v>13.770883082503392</c:v>
                </c:pt>
                <c:pt idx="4">
                  <c:v>17.08189863528537</c:v>
                </c:pt>
                <c:pt idx="5">
                  <c:v>40.342351419772278</c:v>
                </c:pt>
                <c:pt idx="6">
                  <c:v>44.244310959012779</c:v>
                </c:pt>
                <c:pt idx="7">
                  <c:v>46.856804875568109</c:v>
                </c:pt>
                <c:pt idx="8">
                  <c:v>48.194709908569678</c:v>
                </c:pt>
                <c:pt idx="9">
                  <c:v>51.003358569095127</c:v>
                </c:pt>
                <c:pt idx="10">
                  <c:v>53.3427430720362</c:v>
                </c:pt>
                <c:pt idx="11">
                  <c:v>55.368982842865805</c:v>
                </c:pt>
                <c:pt idx="12">
                  <c:v>57.355252851310468</c:v>
                </c:pt>
                <c:pt idx="13">
                  <c:v>59.234421587810239</c:v>
                </c:pt>
                <c:pt idx="14">
                  <c:v>59.487625965656022</c:v>
                </c:pt>
                <c:pt idx="15">
                  <c:v>59.083170252025688</c:v>
                </c:pt>
                <c:pt idx="16">
                  <c:v>60.931628733263146</c:v>
                </c:pt>
                <c:pt idx="17">
                  <c:v>68.421816160719317</c:v>
                </c:pt>
                <c:pt idx="18">
                  <c:v>69.827924177787395</c:v>
                </c:pt>
                <c:pt idx="19">
                  <c:v>70.200320646431479</c:v>
                </c:pt>
                <c:pt idx="20">
                  <c:v>70.200320646431479</c:v>
                </c:pt>
                <c:pt idx="21">
                  <c:v>70.826168240608268</c:v>
                </c:pt>
                <c:pt idx="22">
                  <c:v>70.88911306515574</c:v>
                </c:pt>
                <c:pt idx="23">
                  <c:v>71.141534058269258</c:v>
                </c:pt>
              </c:numCache>
            </c:numRef>
          </c:xVal>
          <c:yVal>
            <c:numRef>
              <c:f>Sheet3!$A$4:$A$27</c:f>
              <c:numCache>
                <c:formatCode>General</c:formatCode>
                <c:ptCount val="24"/>
                <c:pt idx="0">
                  <c:v>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850</c:v>
                </c:pt>
                <c:pt idx="6">
                  <c:v>900</c:v>
                </c:pt>
                <c:pt idx="7">
                  <c:v>950</c:v>
                </c:pt>
                <c:pt idx="8">
                  <c:v>1000</c:v>
                </c:pt>
                <c:pt idx="9">
                  <c:v>1050</c:v>
                </c:pt>
                <c:pt idx="10">
                  <c:v>1100</c:v>
                </c:pt>
                <c:pt idx="11">
                  <c:v>1150</c:v>
                </c:pt>
                <c:pt idx="12">
                  <c:v>1200</c:v>
                </c:pt>
                <c:pt idx="13">
                  <c:v>1250</c:v>
                </c:pt>
                <c:pt idx="14">
                  <c:v>1300</c:v>
                </c:pt>
                <c:pt idx="15">
                  <c:v>1350</c:v>
                </c:pt>
                <c:pt idx="16">
                  <c:v>1400</c:v>
                </c:pt>
                <c:pt idx="17">
                  <c:v>1450</c:v>
                </c:pt>
                <c:pt idx="18">
                  <c:v>1500</c:v>
                </c:pt>
                <c:pt idx="19">
                  <c:v>1550</c:v>
                </c:pt>
                <c:pt idx="20">
                  <c:v>1600</c:v>
                </c:pt>
                <c:pt idx="21">
                  <c:v>1650</c:v>
                </c:pt>
                <c:pt idx="22">
                  <c:v>1700</c:v>
                </c:pt>
                <c:pt idx="23">
                  <c:v>1740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CC2-4FDE-869D-8985E021F19C}"/>
            </c:ext>
          </c:extLst>
        </c:ser>
        <c:ser>
          <c:idx val="4"/>
          <c:order val="4"/>
          <c:spPr>
            <a:ln w="3175">
              <a:solidFill>
                <a:srgbClr val="FF0000"/>
              </a:solidFill>
              <a:prstDash val="solid"/>
            </a:ln>
          </c:spPr>
          <c:marker>
            <c:symbol val="star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xVal>
            <c:strRef>
              <c:f>Sheet3!$I$4:$I$27</c:f>
              <c:strCache>
                <c:ptCount val="24"/>
                <c:pt idx="0">
                  <c:v>UAP</c:v>
                </c:pt>
                <c:pt idx="1">
                  <c:v>UAP</c:v>
                </c:pt>
                <c:pt idx="2">
                  <c:v>UAP</c:v>
                </c:pt>
                <c:pt idx="3">
                  <c:v>UAP</c:v>
                </c:pt>
                <c:pt idx="4">
                  <c:v>UAP</c:v>
                </c:pt>
                <c:pt idx="5">
                  <c:v>UAP</c:v>
                </c:pt>
                <c:pt idx="6">
                  <c:v>UAP</c:v>
                </c:pt>
                <c:pt idx="7">
                  <c:v>UAP</c:v>
                </c:pt>
                <c:pt idx="8">
                  <c:v>UAP</c:v>
                </c:pt>
                <c:pt idx="9">
                  <c:v>UAP</c:v>
                </c:pt>
                <c:pt idx="10">
                  <c:v>UAP</c:v>
                </c:pt>
                <c:pt idx="11">
                  <c:v>UAP</c:v>
                </c:pt>
                <c:pt idx="12">
                  <c:v>AIR</c:v>
                </c:pt>
                <c:pt idx="13">
                  <c:v>AIR</c:v>
                </c:pt>
                <c:pt idx="14">
                  <c:v>AIR</c:v>
                </c:pt>
                <c:pt idx="15">
                  <c:v>AIR</c:v>
                </c:pt>
                <c:pt idx="16">
                  <c:v>AIR</c:v>
                </c:pt>
                <c:pt idx="17">
                  <c:v>AIR</c:v>
                </c:pt>
                <c:pt idx="18">
                  <c:v>AIR</c:v>
                </c:pt>
                <c:pt idx="19">
                  <c:v>AIR</c:v>
                </c:pt>
                <c:pt idx="20">
                  <c:v>UAP</c:v>
                </c:pt>
                <c:pt idx="21">
                  <c:v>UAP</c:v>
                </c:pt>
                <c:pt idx="22">
                  <c:v>UAP</c:v>
                </c:pt>
                <c:pt idx="23">
                  <c:v>UAP</c:v>
                </c:pt>
              </c:strCache>
            </c:strRef>
          </c:xVal>
          <c:yVal>
            <c:numRef>
              <c:f>Sheet3!$A$4:$A$27</c:f>
              <c:numCache>
                <c:formatCode>General</c:formatCode>
                <c:ptCount val="24"/>
                <c:pt idx="0">
                  <c:v>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850</c:v>
                </c:pt>
                <c:pt idx="6">
                  <c:v>900</c:v>
                </c:pt>
                <c:pt idx="7">
                  <c:v>950</c:v>
                </c:pt>
                <c:pt idx="8">
                  <c:v>1000</c:v>
                </c:pt>
                <c:pt idx="9">
                  <c:v>1050</c:v>
                </c:pt>
                <c:pt idx="10">
                  <c:v>1100</c:v>
                </c:pt>
                <c:pt idx="11">
                  <c:v>1150</c:v>
                </c:pt>
                <c:pt idx="12">
                  <c:v>1200</c:v>
                </c:pt>
                <c:pt idx="13">
                  <c:v>1250</c:v>
                </c:pt>
                <c:pt idx="14">
                  <c:v>1300</c:v>
                </c:pt>
                <c:pt idx="15">
                  <c:v>1350</c:v>
                </c:pt>
                <c:pt idx="16">
                  <c:v>1400</c:v>
                </c:pt>
                <c:pt idx="17">
                  <c:v>1450</c:v>
                </c:pt>
                <c:pt idx="18">
                  <c:v>1500</c:v>
                </c:pt>
                <c:pt idx="19">
                  <c:v>1550</c:v>
                </c:pt>
                <c:pt idx="20">
                  <c:v>1600</c:v>
                </c:pt>
                <c:pt idx="21">
                  <c:v>1650</c:v>
                </c:pt>
                <c:pt idx="22">
                  <c:v>1700</c:v>
                </c:pt>
                <c:pt idx="23">
                  <c:v>1740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CC2-4FDE-869D-8985E021F1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189440"/>
        <c:axId val="434185520"/>
      </c:scatterChart>
      <c:valAx>
        <c:axId val="434189440"/>
        <c:scaling>
          <c:orientation val="minMax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 dan T</a:t>
                </a:r>
              </a:p>
            </c:rich>
          </c:tx>
          <c:layout>
            <c:manualLayout>
              <c:xMode val="edge"/>
              <c:yMode val="edge"/>
              <c:x val="0.48663697104677062"/>
              <c:y val="1.794453507340946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4185520"/>
        <c:crosses val="autoZero"/>
        <c:crossBetween val="midCat"/>
      </c:valAx>
      <c:valAx>
        <c:axId val="434185520"/>
        <c:scaling>
          <c:orientation val="maxMin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Kedalaman</a:t>
                </a:r>
              </a:p>
            </c:rich>
          </c:tx>
          <c:layout>
            <c:manualLayout>
              <c:xMode val="edge"/>
              <c:yMode val="edge"/>
              <c:x val="1.2249443207126948E-2"/>
              <c:y val="0.473083197389885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418944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6614699331848557"/>
          <c:y val="0.10603588907014681"/>
          <c:w val="0.18262806236080179"/>
          <c:h val="0.172920065252854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300-000000000000}">
  <sheetPr codeName="Chart7"/>
  <sheetViews>
    <sheetView zoomScale="98" workbookViewId="0"/>
  </sheetViews>
  <pageMargins left="0.75" right="0.75" top="1" bottom="1" header="0.5" footer="0.5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553061" cy="583163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0.118</cdr:x>
      <cdr:y>0.614</cdr:y>
    </cdr:from>
    <cdr:to>
      <cdr:x>0.42025</cdr:x>
      <cdr:y>0.78175</cdr:y>
    </cdr:to>
    <cdr:sp macro="" textlink="">
      <cdr:nvSpPr>
        <cdr:cNvPr id="2049" name="Rectangle 1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009307" y="3585039"/>
          <a:ext cx="2585280" cy="97946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cdr:spPr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4"/>
  <sheetViews>
    <sheetView showGridLines="0" workbookViewId="0">
      <selection activeCell="E24" sqref="E24"/>
    </sheetView>
  </sheetViews>
  <sheetFormatPr defaultColWidth="11.453125" defaultRowHeight="12.5" x14ac:dyDescent="0.25"/>
  <sheetData>
    <row r="1" spans="1:7" ht="18" x14ac:dyDescent="0.4">
      <c r="A1" s="20" t="s">
        <v>0</v>
      </c>
      <c r="B1" s="17"/>
      <c r="C1" s="17"/>
      <c r="D1" s="17"/>
      <c r="E1" s="17"/>
      <c r="F1" s="17"/>
      <c r="G1" s="17"/>
    </row>
    <row r="2" spans="1:7" ht="18" x14ac:dyDescent="0.4">
      <c r="A2" s="1"/>
    </row>
    <row r="3" spans="1:7" x14ac:dyDescent="0.25">
      <c r="A3" s="2" t="s">
        <v>1</v>
      </c>
      <c r="B3" t="s">
        <v>2</v>
      </c>
    </row>
    <row r="4" spans="1:7" x14ac:dyDescent="0.25">
      <c r="A4" s="2" t="s">
        <v>3</v>
      </c>
      <c r="B4" t="s">
        <v>4</v>
      </c>
    </row>
    <row r="5" spans="1:7" x14ac:dyDescent="0.25">
      <c r="A5" s="2" t="s">
        <v>5</v>
      </c>
      <c r="B5" t="s">
        <v>6</v>
      </c>
    </row>
    <row r="6" spans="1:7" x14ac:dyDescent="0.25">
      <c r="A6" s="2"/>
    </row>
    <row r="7" spans="1:7" x14ac:dyDescent="0.25">
      <c r="A7" s="4" t="s">
        <v>7</v>
      </c>
    </row>
    <row r="8" spans="1:7" x14ac:dyDescent="0.25">
      <c r="A8" s="4" t="s">
        <v>8</v>
      </c>
    </row>
    <row r="9" spans="1:7" x14ac:dyDescent="0.25">
      <c r="A9" s="4" t="s">
        <v>9</v>
      </c>
    </row>
    <row r="10" spans="1:7" x14ac:dyDescent="0.25">
      <c r="A10" s="4"/>
    </row>
    <row r="11" spans="1:7" s="14" customFormat="1" x14ac:dyDescent="0.25">
      <c r="A11" s="14" t="s">
        <v>10</v>
      </c>
      <c r="B11" s="15"/>
      <c r="C11" s="15"/>
      <c r="D11" s="15"/>
      <c r="E11" s="15"/>
      <c r="F11" s="15"/>
      <c r="G11" s="15"/>
    </row>
    <row r="12" spans="1:7" s="14" customFormat="1" x14ac:dyDescent="0.25">
      <c r="A12" s="14" t="s">
        <v>11</v>
      </c>
      <c r="B12" s="15"/>
      <c r="C12" s="15"/>
      <c r="D12" s="15"/>
      <c r="E12" s="15"/>
      <c r="F12" s="15"/>
      <c r="G12" s="15"/>
    </row>
    <row r="13" spans="1:7" s="14" customFormat="1" x14ac:dyDescent="0.25">
      <c r="A13" s="14" t="s">
        <v>12</v>
      </c>
      <c r="B13" s="15"/>
      <c r="C13" s="15"/>
      <c r="D13" s="15"/>
      <c r="E13" s="15"/>
      <c r="F13" s="15"/>
      <c r="G13" s="15"/>
    </row>
    <row r="14" spans="1:7" s="14" customFormat="1" x14ac:dyDescent="0.25">
      <c r="A14" s="14" t="s">
        <v>13</v>
      </c>
      <c r="B14" s="15"/>
      <c r="C14" s="15"/>
      <c r="D14" s="15"/>
      <c r="E14" s="15"/>
      <c r="F14" s="15"/>
      <c r="G14" s="15"/>
    </row>
    <row r="15" spans="1:7" x14ac:dyDescent="0.25">
      <c r="A15" s="4"/>
      <c r="B15" s="5"/>
      <c r="C15" s="5"/>
      <c r="D15" s="5"/>
      <c r="E15" s="5"/>
      <c r="F15" s="5"/>
      <c r="G15" s="5"/>
    </row>
    <row r="16" spans="1:7" s="14" customFormat="1" ht="13" x14ac:dyDescent="0.3">
      <c r="A16" s="14" t="s">
        <v>14</v>
      </c>
      <c r="B16" s="15"/>
      <c r="C16" s="15"/>
      <c r="D16" s="15"/>
      <c r="E16" s="15"/>
      <c r="F16" s="15"/>
      <c r="G16" s="15"/>
    </row>
    <row r="17" spans="1:9" s="14" customFormat="1" ht="13" x14ac:dyDescent="0.3">
      <c r="A17" s="14" t="s">
        <v>15</v>
      </c>
      <c r="B17" s="15"/>
      <c r="C17" s="15"/>
      <c r="D17" s="15"/>
      <c r="E17" s="15"/>
      <c r="F17" s="15"/>
      <c r="G17" s="15"/>
    </row>
    <row r="18" spans="1:9" s="14" customFormat="1" x14ac:dyDescent="0.25">
      <c r="B18" s="15"/>
      <c r="C18" s="15"/>
      <c r="D18" s="15"/>
      <c r="E18" s="15"/>
      <c r="F18" s="15"/>
      <c r="G18" s="15"/>
    </row>
    <row r="19" spans="1:9" s="14" customFormat="1" x14ac:dyDescent="0.25">
      <c r="A19" s="14" t="s">
        <v>16</v>
      </c>
      <c r="B19" s="15"/>
      <c r="C19" s="15"/>
      <c r="D19" s="15"/>
      <c r="E19" s="15"/>
      <c r="F19" s="15"/>
      <c r="G19" s="15"/>
    </row>
    <row r="20" spans="1:9" s="14" customFormat="1" x14ac:dyDescent="0.25">
      <c r="A20" s="14" t="s">
        <v>17</v>
      </c>
      <c r="B20" s="15"/>
      <c r="C20" s="15"/>
      <c r="D20" s="15"/>
      <c r="E20" s="15"/>
      <c r="F20" s="15"/>
      <c r="G20" s="15"/>
    </row>
    <row r="21" spans="1:9" s="14" customFormat="1" x14ac:dyDescent="0.25">
      <c r="B21" s="15"/>
      <c r="C21" s="15"/>
      <c r="D21" s="15"/>
      <c r="E21" s="15"/>
      <c r="F21" s="15"/>
      <c r="G21" s="15"/>
      <c r="H21" s="15"/>
      <c r="I21" s="15"/>
    </row>
    <row r="22" spans="1:9" s="14" customFormat="1" x14ac:dyDescent="0.25">
      <c r="A22" s="14" t="s">
        <v>18</v>
      </c>
      <c r="B22" s="15"/>
      <c r="C22" s="15"/>
      <c r="D22" s="15"/>
      <c r="E22" s="15"/>
      <c r="F22" s="15"/>
      <c r="G22" s="15"/>
      <c r="H22" s="15"/>
      <c r="I22" s="15"/>
    </row>
    <row r="23" spans="1:9" s="14" customFormat="1" x14ac:dyDescent="0.25">
      <c r="A23" s="14" t="s">
        <v>19</v>
      </c>
      <c r="B23" s="15"/>
      <c r="C23" s="15"/>
      <c r="D23" s="15"/>
      <c r="E23" s="15"/>
      <c r="F23" s="15"/>
      <c r="G23" s="15"/>
      <c r="H23" s="15"/>
      <c r="I23" s="15"/>
    </row>
    <row r="24" spans="1:9" s="14" customFormat="1" x14ac:dyDescent="0.25">
      <c r="A24" s="14" t="s">
        <v>20</v>
      </c>
      <c r="B24" s="15"/>
      <c r="C24" s="15"/>
      <c r="D24" s="15"/>
      <c r="E24" s="15"/>
      <c r="F24" s="15"/>
      <c r="G24" s="15"/>
      <c r="H24" s="15"/>
      <c r="I24" s="15"/>
    </row>
  </sheetData>
  <sheetProtection password="D68A" sheet="1" objects="1" scenarios="1"/>
  <phoneticPr fontId="0" type="noConversion"/>
  <printOptions gridLinesSet="0"/>
  <pageMargins left="0.75" right="0.75" top="1" bottom="1" header="0.51181102300000003" footer="0.51181102300000003"/>
  <pageSetup paperSize="9" orientation="portrait" horizontalDpi="300" verticalDpi="300" r:id="rId1"/>
  <headerFooter alignWithMargins="0">
    <oddHeader>&amp;A</oddHeader>
    <oddFooter>Seite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6"/>
  <sheetViews>
    <sheetView showGridLines="0" workbookViewId="0">
      <selection activeCell="H21" sqref="H21"/>
    </sheetView>
  </sheetViews>
  <sheetFormatPr defaultColWidth="11.453125" defaultRowHeight="12.5" x14ac:dyDescent="0.25"/>
  <cols>
    <col min="1" max="7" width="11.453125" style="17" customWidth="1"/>
  </cols>
  <sheetData>
    <row r="1" spans="1:9" ht="15.5" x14ac:dyDescent="0.35">
      <c r="A1" s="16" t="s">
        <v>21</v>
      </c>
    </row>
    <row r="2" spans="1:9" s="4" customFormat="1" ht="10" x14ac:dyDescent="0.2">
      <c r="A2" s="18"/>
      <c r="B2" s="18"/>
      <c r="C2" s="18"/>
      <c r="D2" s="18"/>
      <c r="E2" s="18"/>
      <c r="F2" s="18"/>
      <c r="G2" s="18"/>
      <c r="H2" s="5"/>
      <c r="I2" s="5"/>
    </row>
    <row r="3" spans="1:9" s="4" customFormat="1" x14ac:dyDescent="0.25">
      <c r="A3" s="14" t="s">
        <v>22</v>
      </c>
      <c r="B3" s="18"/>
      <c r="C3" s="18"/>
      <c r="D3" s="18"/>
      <c r="E3" s="18"/>
      <c r="F3" s="18"/>
      <c r="G3" s="18"/>
      <c r="H3" s="5"/>
      <c r="I3" s="5"/>
    </row>
    <row r="4" spans="1:9" s="4" customFormat="1" x14ac:dyDescent="0.25">
      <c r="A4" s="14"/>
      <c r="B4" s="18"/>
      <c r="C4" s="18"/>
      <c r="D4" s="18"/>
      <c r="E4" s="18"/>
      <c r="F4" s="18"/>
      <c r="G4" s="18"/>
      <c r="H4" s="5"/>
      <c r="I4" s="5"/>
    </row>
    <row r="5" spans="1:9" s="4" customFormat="1" ht="13" x14ac:dyDescent="0.3">
      <c r="A5" s="21" t="s">
        <v>23</v>
      </c>
      <c r="B5" s="19"/>
      <c r="C5" s="19"/>
      <c r="D5" s="19"/>
      <c r="E5" s="19"/>
      <c r="F5" s="19"/>
      <c r="G5" s="19"/>
      <c r="H5" s="5"/>
      <c r="I5" s="5"/>
    </row>
    <row r="6" spans="1:9" s="4" customFormat="1" ht="13" x14ac:dyDescent="0.3">
      <c r="A6" s="21"/>
      <c r="B6" s="19"/>
      <c r="C6" s="19"/>
      <c r="D6" s="19"/>
      <c r="E6" s="19"/>
      <c r="F6" s="19"/>
      <c r="G6" s="19"/>
      <c r="H6" s="5"/>
      <c r="I6" s="5"/>
    </row>
    <row r="7" spans="1:9" s="4" customFormat="1" ht="13" x14ac:dyDescent="0.3">
      <c r="A7" s="14" t="s">
        <v>24</v>
      </c>
      <c r="B7" s="22" t="s">
        <v>25</v>
      </c>
      <c r="C7" s="15"/>
      <c r="D7" s="15"/>
      <c r="E7" s="15"/>
      <c r="F7" s="15"/>
      <c r="G7" s="15"/>
      <c r="H7" s="5"/>
      <c r="I7" s="5"/>
    </row>
    <row r="8" spans="1:9" s="4" customFormat="1" ht="13" x14ac:dyDescent="0.3">
      <c r="A8" t="s">
        <v>26</v>
      </c>
      <c r="B8" s="22" t="s">
        <v>27</v>
      </c>
      <c r="C8" s="15"/>
      <c r="D8" s="15"/>
      <c r="E8" s="15"/>
      <c r="F8" s="15"/>
      <c r="G8" s="15"/>
      <c r="H8" s="5"/>
      <c r="I8" s="5"/>
    </row>
    <row r="9" spans="1:9" s="4" customFormat="1" ht="13" x14ac:dyDescent="0.3">
      <c r="A9"/>
      <c r="B9" s="22"/>
      <c r="C9" s="15"/>
      <c r="D9" s="15"/>
      <c r="E9" s="15"/>
      <c r="F9" s="15"/>
      <c r="G9" s="15"/>
      <c r="H9" s="5"/>
      <c r="I9" s="5"/>
    </row>
    <row r="10" spans="1:9" s="4" customFormat="1" ht="13" x14ac:dyDescent="0.3">
      <c r="A10" s="14" t="s">
        <v>28</v>
      </c>
      <c r="B10" s="15"/>
      <c r="C10" s="15"/>
      <c r="D10" s="15"/>
      <c r="E10" s="15"/>
      <c r="F10" s="15"/>
      <c r="G10" s="15"/>
      <c r="H10" s="5"/>
      <c r="I10" s="5"/>
    </row>
    <row r="11" spans="1:9" s="4" customFormat="1" x14ac:dyDescent="0.25">
      <c r="A11" s="14" t="s">
        <v>29</v>
      </c>
      <c r="B11" s="15"/>
      <c r="C11" s="15"/>
      <c r="D11" s="15"/>
      <c r="E11" s="15"/>
      <c r="F11" s="15"/>
      <c r="G11" s="15"/>
      <c r="H11" s="5"/>
      <c r="I11" s="5"/>
    </row>
    <row r="12" spans="1:9" s="4" customFormat="1" x14ac:dyDescent="0.25">
      <c r="A12"/>
      <c r="B12" s="19"/>
      <c r="C12" s="19"/>
      <c r="D12" s="19"/>
      <c r="E12" s="19"/>
      <c r="F12" s="19"/>
      <c r="G12" s="19"/>
      <c r="H12" s="5"/>
      <c r="I12" s="5"/>
    </row>
    <row r="13" spans="1:9" s="4" customFormat="1" ht="13" x14ac:dyDescent="0.3">
      <c r="A13" s="21" t="s">
        <v>30</v>
      </c>
      <c r="B13" s="19"/>
      <c r="C13" s="19"/>
      <c r="D13" s="19"/>
      <c r="E13" s="19"/>
      <c r="F13" s="19"/>
      <c r="G13" s="19"/>
      <c r="H13" s="5"/>
      <c r="I13" s="5"/>
    </row>
    <row r="14" spans="1:9" s="4" customFormat="1" ht="13" x14ac:dyDescent="0.3">
      <c r="A14" s="21"/>
      <c r="B14" s="19"/>
      <c r="C14" s="19"/>
      <c r="D14" s="19"/>
      <c r="E14" s="19"/>
      <c r="F14" s="19"/>
      <c r="G14" s="19"/>
      <c r="H14" s="5"/>
      <c r="I14" s="5"/>
    </row>
    <row r="15" spans="1:9" x14ac:dyDescent="0.25">
      <c r="A15"/>
      <c r="B15"/>
      <c r="C15"/>
      <c r="D15"/>
      <c r="E15"/>
      <c r="F15"/>
      <c r="G15"/>
    </row>
    <row r="16" spans="1:9" x14ac:dyDescent="0.25">
      <c r="A16"/>
      <c r="B16"/>
      <c r="C16"/>
      <c r="D16"/>
      <c r="E16"/>
      <c r="F16"/>
      <c r="G16"/>
    </row>
  </sheetData>
  <sheetProtection password="D68A" sheet="1" objects="1" scenarios="1"/>
  <phoneticPr fontId="0" type="noConversion"/>
  <printOptions gridLinesSet="0"/>
  <pageMargins left="0.75" right="0.75" top="1" bottom="1" header="0.51181102300000003" footer="0.51181102300000003"/>
  <pageSetup paperSize="9" orientation="portrait" horizontalDpi="300" verticalDpi="300" r:id="rId1"/>
  <headerFooter alignWithMargins="0">
    <oddHeader>&amp;A</oddHeader>
    <oddFooter>Seite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D52"/>
  <sheetViews>
    <sheetView topLeftCell="A49" workbookViewId="0">
      <selection activeCell="L68" sqref="L68"/>
    </sheetView>
  </sheetViews>
  <sheetFormatPr defaultRowHeight="12.5" x14ac:dyDescent="0.25"/>
  <cols>
    <col min="3" max="3" width="12.54296875" bestFit="1" customWidth="1"/>
    <col min="4" max="4" width="12.6328125" bestFit="1" customWidth="1"/>
    <col min="5" max="5" width="12.08984375" bestFit="1" customWidth="1"/>
    <col min="6" max="6" width="13.36328125" bestFit="1" customWidth="1"/>
    <col min="7" max="7" width="12.6328125" bestFit="1" customWidth="1"/>
  </cols>
  <sheetData>
    <row r="52" spans="4:4" x14ac:dyDescent="0.25">
      <c r="D52" s="23"/>
    </row>
  </sheetData>
  <phoneticPr fontId="11" type="noConversion"/>
  <pageMargins left="0.75" right="0.75" top="1" bottom="1" header="0.5" footer="0.5"/>
  <pageSetup orientation="portrait" horizontalDpi="4294967293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I27"/>
  <sheetViews>
    <sheetView zoomScale="200" workbookViewId="0">
      <selection activeCell="H16" sqref="H16"/>
    </sheetView>
  </sheetViews>
  <sheetFormatPr defaultRowHeight="12.5" x14ac:dyDescent="0.25"/>
  <cols>
    <col min="3" max="3" width="11.90625" bestFit="1" customWidth="1"/>
    <col min="4" max="4" width="11.54296875" bestFit="1" customWidth="1"/>
    <col min="5" max="5" width="6.54296875" customWidth="1"/>
    <col min="6" max="6" width="14" bestFit="1" customWidth="1"/>
    <col min="8" max="8" width="15.54296875" bestFit="1" customWidth="1"/>
  </cols>
  <sheetData>
    <row r="1" spans="1:9" x14ac:dyDescent="0.25">
      <c r="F1" t="s">
        <v>138</v>
      </c>
      <c r="G1">
        <v>0.7</v>
      </c>
      <c r="H1" t="s">
        <v>128</v>
      </c>
      <c r="I1">
        <f>(G2/44/((1000000-G2)/18+G2/44))</f>
        <v>2.8755306038614264E-3</v>
      </c>
    </row>
    <row r="2" spans="1:9" x14ac:dyDescent="0.25">
      <c r="F2" t="s">
        <v>125</v>
      </c>
      <c r="G2">
        <f>G1/100*1000000</f>
        <v>6999.9999999999991</v>
      </c>
      <c r="H2" t="s">
        <v>139</v>
      </c>
      <c r="I2">
        <f>(G2/44)/1000</f>
        <v>0.15909090909090906</v>
      </c>
    </row>
    <row r="3" spans="1:9" x14ac:dyDescent="0.25">
      <c r="A3" t="s">
        <v>131</v>
      </c>
      <c r="B3" t="s">
        <v>133</v>
      </c>
      <c r="C3" t="s">
        <v>132</v>
      </c>
      <c r="D3" t="s">
        <v>134</v>
      </c>
      <c r="E3" t="s">
        <v>137</v>
      </c>
      <c r="F3" t="s">
        <v>135</v>
      </c>
      <c r="G3" t="s">
        <v>136</v>
      </c>
      <c r="H3" t="s">
        <v>140</v>
      </c>
    </row>
    <row r="4" spans="1:9" x14ac:dyDescent="0.25">
      <c r="A4">
        <v>0</v>
      </c>
      <c r="B4" s="27">
        <v>48.7310084123</v>
      </c>
      <c r="C4" s="28">
        <v>18.936061970000001</v>
      </c>
      <c r="D4" s="27">
        <f>BOILP(B4)-273.15</f>
        <v>262.3155604362488</v>
      </c>
      <c r="E4" s="27">
        <f>vapp(C4+273.15)</f>
        <v>2.1872263825167295E-2</v>
      </c>
      <c r="F4" s="29">
        <f>KHCO2(C4,$I$2)</f>
        <v>1470.0582275390625</v>
      </c>
      <c r="G4" s="27">
        <f>F4*$I$1</f>
        <v>4.2271974227468583</v>
      </c>
      <c r="H4" s="27">
        <f>E4*(1-$I$1)+G4</f>
        <v>4.2490067922080206</v>
      </c>
      <c r="I4" t="str">
        <f>IF(H4&lt;B4,"UAP","AIR")</f>
        <v>UAP</v>
      </c>
    </row>
    <row r="5" spans="1:9" x14ac:dyDescent="0.25">
      <c r="A5">
        <v>200</v>
      </c>
      <c r="B5" s="27">
        <v>50.924578436090002</v>
      </c>
      <c r="C5" s="28">
        <v>39.964628195000003</v>
      </c>
      <c r="D5" s="27">
        <f t="shared" ref="D5:D27" si="0">BOILP(B5)-273.15</f>
        <v>265.06429967880251</v>
      </c>
      <c r="E5" s="27">
        <f t="shared" ref="E5:E27" si="1">vapp(C5+273.15)</f>
        <v>7.3610213528081628E-2</v>
      </c>
      <c r="F5" s="29">
        <f t="shared" ref="F5:F27" si="2">KHCO2(C5,$I$2)</f>
        <v>2423.708251953125</v>
      </c>
      <c r="G5" s="27">
        <f t="shared" ref="G5:G27" si="3">F5*$I$1</f>
        <v>6.9694472533226914</v>
      </c>
      <c r="H5" s="27">
        <f t="shared" ref="H5:H27" si="4">E5*(1-$I$1)+G5</f>
        <v>7.042845798429016</v>
      </c>
      <c r="I5" t="str">
        <f t="shared" ref="I5:I27" si="5">IF(H5&lt;B5,"UAP","AIR")</f>
        <v>UAP</v>
      </c>
    </row>
    <row r="6" spans="1:9" x14ac:dyDescent="0.25">
      <c r="A6">
        <v>400</v>
      </c>
      <c r="B6" s="27">
        <v>53.086357589970007</v>
      </c>
      <c r="C6" s="28">
        <v>73.830858445000004</v>
      </c>
      <c r="D6" s="27">
        <f t="shared" si="0"/>
        <v>267.68644304275506</v>
      </c>
      <c r="E6" s="27">
        <f t="shared" si="1"/>
        <v>0.36700081380079463</v>
      </c>
      <c r="F6" s="29">
        <f t="shared" si="2"/>
        <v>4086.09375</v>
      </c>
      <c r="G6" s="27">
        <f t="shared" si="3"/>
        <v>11.7496876283719</v>
      </c>
      <c r="H6" s="27">
        <f t="shared" si="4"/>
        <v>12.115633120100968</v>
      </c>
      <c r="I6" t="str">
        <f t="shared" si="5"/>
        <v>UAP</v>
      </c>
    </row>
    <row r="7" spans="1:9" x14ac:dyDescent="0.25">
      <c r="A7">
        <v>600</v>
      </c>
      <c r="B7" s="27">
        <v>54.326201516459996</v>
      </c>
      <c r="C7" s="28">
        <v>84.463279570000012</v>
      </c>
      <c r="D7" s="27">
        <f t="shared" si="0"/>
        <v>269.15383615493772</v>
      </c>
      <c r="E7" s="27">
        <f t="shared" si="1"/>
        <v>0.56596508985646532</v>
      </c>
      <c r="F7" s="29">
        <f t="shared" si="2"/>
        <v>4592.7333984375</v>
      </c>
      <c r="G7" s="27">
        <f t="shared" si="3"/>
        <v>13.206545442583526</v>
      </c>
      <c r="H7" s="27">
        <f t="shared" si="4"/>
        <v>13.770883082503392</v>
      </c>
      <c r="I7" t="str">
        <f t="shared" si="5"/>
        <v>UAP</v>
      </c>
    </row>
    <row r="8" spans="1:9" x14ac:dyDescent="0.25">
      <c r="A8">
        <v>800</v>
      </c>
      <c r="B8" s="27">
        <v>54.453364996100007</v>
      </c>
      <c r="C8" s="28">
        <v>105.72812182</v>
      </c>
      <c r="D8" s="27">
        <f t="shared" si="0"/>
        <v>269.30281362533572</v>
      </c>
      <c r="E8" s="27">
        <f t="shared" si="1"/>
        <v>1.2387654103081669</v>
      </c>
      <c r="F8" s="29">
        <f t="shared" si="2"/>
        <v>5510.876953125</v>
      </c>
      <c r="G8" s="27">
        <f t="shared" si="3"/>
        <v>15.846695332825549</v>
      </c>
      <c r="H8" s="27">
        <f t="shared" si="4"/>
        <v>17.08189863528537</v>
      </c>
      <c r="I8" t="str">
        <f t="shared" si="5"/>
        <v>UAP</v>
      </c>
    </row>
    <row r="9" spans="1:9" x14ac:dyDescent="0.25">
      <c r="A9">
        <v>850</v>
      </c>
      <c r="B9" s="27">
        <v>54.548737605829999</v>
      </c>
      <c r="C9" s="28">
        <v>217.329164295</v>
      </c>
      <c r="D9" s="27">
        <f t="shared" si="0"/>
        <v>269.41472158432009</v>
      </c>
      <c r="E9" s="27">
        <f t="shared" si="1"/>
        <v>22.039031794558085</v>
      </c>
      <c r="F9" s="29">
        <f t="shared" si="2"/>
        <v>6387.236328125</v>
      </c>
      <c r="G9" s="27">
        <f t="shared" si="3"/>
        <v>18.366693535618921</v>
      </c>
      <c r="H9" s="27">
        <f t="shared" si="4"/>
        <v>40.342351419772278</v>
      </c>
      <c r="I9" t="str">
        <f t="shared" si="5"/>
        <v>UAP</v>
      </c>
    </row>
    <row r="10" spans="1:9" x14ac:dyDescent="0.25">
      <c r="A10">
        <v>900</v>
      </c>
      <c r="B10" s="27">
        <v>54.866646304930001</v>
      </c>
      <c r="C10" s="28">
        <v>227.25275734499999</v>
      </c>
      <c r="D10" s="27">
        <f t="shared" si="0"/>
        <v>269.78541669845561</v>
      </c>
      <c r="E10" s="27">
        <f t="shared" si="1"/>
        <v>26.597283877422289</v>
      </c>
      <c r="F10" s="29">
        <f t="shared" si="2"/>
        <v>6163.56103515625</v>
      </c>
      <c r="G10" s="27">
        <f t="shared" si="3"/>
        <v>17.723508385359612</v>
      </c>
      <c r="H10" s="27">
        <f t="shared" si="4"/>
        <v>44.244310959012779</v>
      </c>
      <c r="I10" t="str">
        <f t="shared" si="5"/>
        <v>UAP</v>
      </c>
    </row>
    <row r="11" spans="1:9" x14ac:dyDescent="0.25">
      <c r="A11">
        <v>950</v>
      </c>
      <c r="B11" s="27">
        <v>55.089182394300003</v>
      </c>
      <c r="C11" s="28">
        <v>233.15965796999998</v>
      </c>
      <c r="D11" s="27">
        <f t="shared" si="0"/>
        <v>270.0442038536072</v>
      </c>
      <c r="E11" s="27">
        <f t="shared" si="1"/>
        <v>29.635760413952063</v>
      </c>
      <c r="F11" s="29">
        <f t="shared" si="2"/>
        <v>6018.458984375</v>
      </c>
      <c r="G11" s="27">
        <f t="shared" si="3"/>
        <v>17.306262997655072</v>
      </c>
      <c r="H11" s="27">
        <f t="shared" si="4"/>
        <v>46.856804875568109</v>
      </c>
      <c r="I11" t="str">
        <f t="shared" si="5"/>
        <v>UAP</v>
      </c>
    </row>
    <row r="12" spans="1:9" x14ac:dyDescent="0.25">
      <c r="A12">
        <v>1000</v>
      </c>
      <c r="B12" s="27">
        <v>55.375300223490001</v>
      </c>
      <c r="C12" s="28">
        <v>235.99497026999998</v>
      </c>
      <c r="D12" s="27">
        <f t="shared" si="0"/>
        <v>270.37573118209832</v>
      </c>
      <c r="E12" s="27">
        <f t="shared" si="1"/>
        <v>31.185719423935307</v>
      </c>
      <c r="F12" s="29">
        <f t="shared" si="2"/>
        <v>5946.2646484375</v>
      </c>
      <c r="G12" s="27">
        <f t="shared" si="3"/>
        <v>17.098665975241335</v>
      </c>
      <c r="H12" s="27">
        <f t="shared" si="4"/>
        <v>48.194709908569678</v>
      </c>
      <c r="I12" t="str">
        <f t="shared" si="5"/>
        <v>UAP</v>
      </c>
    </row>
    <row r="13" spans="1:9" x14ac:dyDescent="0.25">
      <c r="A13">
        <v>1050</v>
      </c>
      <c r="B13" s="27">
        <v>55.597836312860004</v>
      </c>
      <c r="C13" s="28">
        <v>241.58683619499999</v>
      </c>
      <c r="D13" s="27">
        <f t="shared" si="0"/>
        <v>270.63242006301869</v>
      </c>
      <c r="E13" s="27">
        <f t="shared" si="1"/>
        <v>34.424454977441187</v>
      </c>
      <c r="F13" s="29">
        <f t="shared" si="2"/>
        <v>5799.935546875</v>
      </c>
      <c r="G13" s="27">
        <f t="shared" si="3"/>
        <v>16.677892165462822</v>
      </c>
      <c r="H13" s="27">
        <f t="shared" si="4"/>
        <v>51.003358569095127</v>
      </c>
      <c r="I13" t="str">
        <f t="shared" si="5"/>
        <v>UAP</v>
      </c>
    </row>
    <row r="14" spans="1:9" x14ac:dyDescent="0.25">
      <c r="A14">
        <v>1100</v>
      </c>
      <c r="B14" s="27">
        <v>55.7249997925</v>
      </c>
      <c r="C14" s="28">
        <v>245.91856332</v>
      </c>
      <c r="D14" s="27">
        <f t="shared" si="0"/>
        <v>270.77929925918568</v>
      </c>
      <c r="E14" s="27">
        <f t="shared" si="1"/>
        <v>37.105828881735668</v>
      </c>
      <c r="F14" s="29">
        <f t="shared" si="2"/>
        <v>5683.68603515625</v>
      </c>
      <c r="G14" s="27">
        <f t="shared" si="3"/>
        <v>16.343613136831607</v>
      </c>
      <c r="H14" s="27">
        <f t="shared" si="4"/>
        <v>53.3427430720362</v>
      </c>
      <c r="I14" t="str">
        <f t="shared" si="5"/>
        <v>UAP</v>
      </c>
    </row>
    <row r="15" spans="1:9" x14ac:dyDescent="0.25">
      <c r="A15">
        <v>1150</v>
      </c>
      <c r="B15" s="27">
        <v>55.883954142050001</v>
      </c>
      <c r="C15" s="28">
        <v>249.46270369499999</v>
      </c>
      <c r="D15" s="27">
        <f t="shared" si="0"/>
        <v>270.96184911727926</v>
      </c>
      <c r="E15" s="27">
        <f t="shared" si="1"/>
        <v>39.416298061342907</v>
      </c>
      <c r="F15" s="29">
        <f t="shared" si="2"/>
        <v>5587.15234375</v>
      </c>
      <c r="G15" s="27">
        <f t="shared" si="3"/>
        <v>16.066027552889221</v>
      </c>
      <c r="H15" s="27">
        <f t="shared" si="4"/>
        <v>55.368982842865805</v>
      </c>
      <c r="I15" t="str">
        <f t="shared" si="5"/>
        <v>UAP</v>
      </c>
    </row>
    <row r="16" spans="1:9" x14ac:dyDescent="0.25">
      <c r="A16">
        <v>1200</v>
      </c>
      <c r="B16" s="27">
        <v>55.979326751779993</v>
      </c>
      <c r="C16" s="28">
        <v>252.770568045</v>
      </c>
      <c r="D16" s="27">
        <f t="shared" si="0"/>
        <v>271.07095937728889</v>
      </c>
      <c r="E16" s="27">
        <f t="shared" si="1"/>
        <v>41.67060292755189</v>
      </c>
      <c r="F16" s="29">
        <f t="shared" si="2"/>
        <v>5496.1943359375</v>
      </c>
      <c r="G16" s="27">
        <f t="shared" si="3"/>
        <v>15.804475017758111</v>
      </c>
      <c r="H16" s="27">
        <f t="shared" si="4"/>
        <v>57.355252851310468</v>
      </c>
      <c r="I16" t="str">
        <f t="shared" si="5"/>
        <v>AIR</v>
      </c>
    </row>
    <row r="17" spans="1:9" x14ac:dyDescent="0.25">
      <c r="A17">
        <v>1250</v>
      </c>
      <c r="B17" s="27">
        <v>56.201862841149996</v>
      </c>
      <c r="C17" s="28">
        <v>255.76339769500001</v>
      </c>
      <c r="D17" s="27">
        <f t="shared" si="0"/>
        <v>271.32554998397825</v>
      </c>
      <c r="E17" s="27">
        <f t="shared" si="1"/>
        <v>43.794000416308634</v>
      </c>
      <c r="F17" s="29">
        <f t="shared" si="2"/>
        <v>5413.38427734375</v>
      </c>
      <c r="G17" s="27">
        <f t="shared" si="3"/>
        <v>15.566352159964225</v>
      </c>
      <c r="H17" s="27">
        <f t="shared" si="4"/>
        <v>59.234421587810239</v>
      </c>
      <c r="I17" t="str">
        <f t="shared" si="5"/>
        <v>AIR</v>
      </c>
    </row>
    <row r="18" spans="1:9" x14ac:dyDescent="0.25">
      <c r="A18">
        <v>1300</v>
      </c>
      <c r="B18" s="27">
        <v>56.297235450879995</v>
      </c>
      <c r="C18" s="28">
        <v>256.15719107000001</v>
      </c>
      <c r="D18" s="27">
        <f t="shared" si="0"/>
        <v>271.43466024398788</v>
      </c>
      <c r="E18" s="27">
        <f t="shared" si="1"/>
        <v>44.079435970843988</v>
      </c>
      <c r="F18" s="29">
        <f t="shared" si="2"/>
        <v>5402.4609375</v>
      </c>
      <c r="G18" s="27">
        <f t="shared" si="3"/>
        <v>15.534941761947143</v>
      </c>
      <c r="H18" s="27">
        <f t="shared" si="4"/>
        <v>59.487625965656022</v>
      </c>
      <c r="I18" t="str">
        <f t="shared" si="5"/>
        <v>AIR</v>
      </c>
    </row>
    <row r="19" spans="1:9" x14ac:dyDescent="0.25">
      <c r="A19">
        <v>1350</v>
      </c>
      <c r="B19" s="27">
        <v>56.901261979170002</v>
      </c>
      <c r="C19" s="28">
        <v>255.52712166999999</v>
      </c>
      <c r="D19" s="27">
        <f t="shared" si="0"/>
        <v>272.12149534225443</v>
      </c>
      <c r="E19" s="27">
        <f t="shared" si="1"/>
        <v>43.623418787731723</v>
      </c>
      <c r="F19" s="29">
        <f t="shared" si="2"/>
        <v>5419.93603515625</v>
      </c>
      <c r="G19" s="27">
        <f t="shared" si="3"/>
        <v>15.585191940063156</v>
      </c>
      <c r="H19" s="27">
        <f t="shared" si="4"/>
        <v>59.083170252025688</v>
      </c>
      <c r="I19" t="str">
        <f t="shared" si="5"/>
        <v>AIR</v>
      </c>
    </row>
    <row r="20" spans="1:9" x14ac:dyDescent="0.25">
      <c r="A20">
        <v>1400</v>
      </c>
      <c r="B20" s="27">
        <v>56.901261979170002</v>
      </c>
      <c r="C20" s="28">
        <v>258.36243396999998</v>
      </c>
      <c r="D20" s="27">
        <f t="shared" si="0"/>
        <v>272.12149534225443</v>
      </c>
      <c r="E20" s="27">
        <f t="shared" si="1"/>
        <v>45.704256867098088</v>
      </c>
      <c r="F20" s="29">
        <f t="shared" si="2"/>
        <v>5341.2041015625</v>
      </c>
      <c r="G20" s="27">
        <f t="shared" si="3"/>
        <v>15.358795855513144</v>
      </c>
      <c r="H20" s="27">
        <f t="shared" si="4"/>
        <v>60.931628733263146</v>
      </c>
      <c r="I20" t="str">
        <f t="shared" si="5"/>
        <v>AIR</v>
      </c>
    </row>
    <row r="21" spans="1:9" x14ac:dyDescent="0.25">
      <c r="A21">
        <v>1450</v>
      </c>
      <c r="B21" s="27">
        <v>63.195854221350004</v>
      </c>
      <c r="C21" s="28">
        <v>268.83733774500001</v>
      </c>
      <c r="D21" s="27">
        <f t="shared" si="0"/>
        <v>278.96606588363659</v>
      </c>
      <c r="E21" s="27">
        <f t="shared" si="1"/>
        <v>54.056734027913272</v>
      </c>
      <c r="F21" s="29">
        <f t="shared" si="2"/>
        <v>5049.68505859375</v>
      </c>
      <c r="G21" s="27">
        <f t="shared" si="3"/>
        <v>14.520523925848108</v>
      </c>
      <c r="H21" s="27">
        <f t="shared" si="4"/>
        <v>68.421816160719317</v>
      </c>
      <c r="I21" t="str">
        <f t="shared" si="5"/>
        <v>AIR</v>
      </c>
    </row>
    <row r="22" spans="1:9" x14ac:dyDescent="0.25">
      <c r="A22">
        <v>1500</v>
      </c>
      <c r="B22" s="27">
        <v>66.215986862800008</v>
      </c>
      <c r="C22" s="28">
        <v>270.64878727000001</v>
      </c>
      <c r="D22" s="27">
        <f t="shared" si="0"/>
        <v>282.06591634750373</v>
      </c>
      <c r="E22" s="27">
        <f t="shared" si="1"/>
        <v>55.611878121576332</v>
      </c>
      <c r="F22" s="29">
        <f t="shared" si="2"/>
        <v>4999.4111328125</v>
      </c>
      <c r="G22" s="27">
        <f t="shared" si="3"/>
        <v>14.375959713687866</v>
      </c>
      <c r="H22" s="27">
        <f t="shared" si="4"/>
        <v>69.827924177787395</v>
      </c>
      <c r="I22" t="str">
        <f t="shared" si="5"/>
        <v>AIR</v>
      </c>
    </row>
    <row r="23" spans="1:9" x14ac:dyDescent="0.25">
      <c r="A23">
        <v>1550</v>
      </c>
      <c r="B23" s="27">
        <v>68.981792544970006</v>
      </c>
      <c r="C23" s="28">
        <v>271.12133932</v>
      </c>
      <c r="D23" s="27">
        <f t="shared" si="0"/>
        <v>284.8118578910827</v>
      </c>
      <c r="E23" s="27">
        <f t="shared" si="1"/>
        <v>56.023129696569676</v>
      </c>
      <c r="F23" s="29">
        <f t="shared" si="2"/>
        <v>4986.31005859375</v>
      </c>
      <c r="G23" s="27">
        <f t="shared" si="3"/>
        <v>14.338287173828391</v>
      </c>
      <c r="H23" s="27">
        <f t="shared" si="4"/>
        <v>70.200320646431479</v>
      </c>
      <c r="I23" t="str">
        <f t="shared" si="5"/>
        <v>AIR</v>
      </c>
    </row>
    <row r="24" spans="1:9" x14ac:dyDescent="0.25">
      <c r="A24">
        <v>1600</v>
      </c>
      <c r="B24" s="27">
        <v>71.525062137769993</v>
      </c>
      <c r="C24" s="28">
        <v>271.12133932</v>
      </c>
      <c r="D24" s="27">
        <f t="shared" si="0"/>
        <v>287.26334161758416</v>
      </c>
      <c r="E24" s="27">
        <f t="shared" si="1"/>
        <v>56.023129696569676</v>
      </c>
      <c r="F24" s="29">
        <f t="shared" si="2"/>
        <v>4986.31005859375</v>
      </c>
      <c r="G24" s="27">
        <f t="shared" si="3"/>
        <v>14.338287173828391</v>
      </c>
      <c r="H24" s="27">
        <f t="shared" si="4"/>
        <v>70.200320646431479</v>
      </c>
      <c r="I24" t="str">
        <f t="shared" si="5"/>
        <v>UAP</v>
      </c>
    </row>
    <row r="25" spans="1:9" x14ac:dyDescent="0.25">
      <c r="A25">
        <v>1650</v>
      </c>
      <c r="B25" s="27">
        <v>74.036540860660011</v>
      </c>
      <c r="C25" s="28">
        <v>271.90892607000001</v>
      </c>
      <c r="D25" s="27">
        <f t="shared" si="0"/>
        <v>289.61970357894904</v>
      </c>
      <c r="E25" s="27">
        <f t="shared" si="1"/>
        <v>56.713706638188306</v>
      </c>
      <c r="F25" s="29">
        <f t="shared" si="2"/>
        <v>4964.490234375</v>
      </c>
      <c r="G25" s="27">
        <f t="shared" si="3"/>
        <v>14.275543601516498</v>
      </c>
      <c r="H25" s="27">
        <f t="shared" si="4"/>
        <v>70.826168240608268</v>
      </c>
      <c r="I25" t="str">
        <f t="shared" si="5"/>
        <v>UAP</v>
      </c>
    </row>
    <row r="26" spans="1:9" x14ac:dyDescent="0.25">
      <c r="A26">
        <v>1700</v>
      </c>
      <c r="B26" s="27">
        <v>76.166529144630005</v>
      </c>
      <c r="C26" s="28">
        <v>271.98768474499997</v>
      </c>
      <c r="D26" s="27">
        <f t="shared" si="0"/>
        <v>291.57039918899534</v>
      </c>
      <c r="E26" s="27">
        <f t="shared" si="1"/>
        <v>56.783120225812091</v>
      </c>
      <c r="F26" s="29">
        <f t="shared" si="2"/>
        <v>4962.31005859375</v>
      </c>
      <c r="G26" s="27">
        <f t="shared" si="3"/>
        <v>14.269274439335716</v>
      </c>
      <c r="H26" s="27">
        <f t="shared" si="4"/>
        <v>70.88911306515574</v>
      </c>
      <c r="I26" t="str">
        <f t="shared" si="5"/>
        <v>UAP</v>
      </c>
    </row>
    <row r="27" spans="1:9" x14ac:dyDescent="0.25">
      <c r="A27">
        <v>1740</v>
      </c>
      <c r="B27" s="27">
        <v>77.978608729499996</v>
      </c>
      <c r="C27" s="28">
        <v>272.30271944499998</v>
      </c>
      <c r="D27" s="27">
        <f t="shared" si="0"/>
        <v>293.19726114273078</v>
      </c>
      <c r="E27" s="27">
        <f t="shared" si="1"/>
        <v>57.061423754232578</v>
      </c>
      <c r="F27" s="29">
        <f t="shared" si="2"/>
        <v>4953.58740234375</v>
      </c>
      <c r="G27" s="27">
        <f t="shared" si="3"/>
        <v>14.244192174341878</v>
      </c>
      <c r="H27" s="27">
        <f t="shared" si="4"/>
        <v>71.141534058269258</v>
      </c>
      <c r="I27" t="str">
        <f t="shared" si="5"/>
        <v>UAP</v>
      </c>
    </row>
  </sheetData>
  <phoneticPr fontId="11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C21"/>
  <sheetViews>
    <sheetView topLeftCell="A4" zoomScale="200" workbookViewId="0">
      <selection activeCell="B21" sqref="B21"/>
    </sheetView>
  </sheetViews>
  <sheetFormatPr defaultRowHeight="12.5" x14ac:dyDescent="0.25"/>
  <cols>
    <col min="1" max="1" width="28" bestFit="1" customWidth="1"/>
    <col min="2" max="2" width="12.453125" customWidth="1"/>
    <col min="3" max="3" width="7.90625" bestFit="1" customWidth="1"/>
    <col min="4" max="4" width="7.90625" customWidth="1"/>
    <col min="5" max="5" width="8.36328125" customWidth="1"/>
    <col min="6" max="6" width="6.6328125" customWidth="1"/>
    <col min="7" max="7" width="6.36328125" customWidth="1"/>
    <col min="8" max="8" width="7.36328125" customWidth="1"/>
    <col min="9" max="9" width="8.08984375" customWidth="1"/>
    <col min="10" max="10" width="10.6328125" customWidth="1"/>
  </cols>
  <sheetData>
    <row r="1" spans="1:3" x14ac:dyDescent="0.25">
      <c r="A1" t="s">
        <v>113</v>
      </c>
      <c r="B1">
        <v>100</v>
      </c>
      <c r="C1" t="s">
        <v>114</v>
      </c>
    </row>
    <row r="2" spans="1:3" x14ac:dyDescent="0.25">
      <c r="A2" t="s">
        <v>112</v>
      </c>
      <c r="B2" s="23">
        <f>vapp(B1+273.15)</f>
        <v>1.013245216435261</v>
      </c>
      <c r="C2" t="s">
        <v>57</v>
      </c>
    </row>
    <row r="3" spans="1:3" ht="14.5" x14ac:dyDescent="0.35">
      <c r="A3" t="s">
        <v>115</v>
      </c>
      <c r="B3" s="24">
        <f>VAPPNaCl(100,1)</f>
        <v>0.97896839729102914</v>
      </c>
    </row>
    <row r="5" spans="1:3" ht="14.5" x14ac:dyDescent="0.35">
      <c r="A5" t="s">
        <v>116</v>
      </c>
      <c r="B5" s="24">
        <f>1/vsub1(100+273.15,1.013245)</f>
        <v>958.12223836128146</v>
      </c>
      <c r="C5" t="s">
        <v>117</v>
      </c>
    </row>
    <row r="6" spans="1:3" ht="14.5" x14ac:dyDescent="0.35">
      <c r="A6" t="s">
        <v>118</v>
      </c>
      <c r="B6" s="24">
        <f>rhoNaCl(100,1.013245,2)</f>
        <v>989.17510969658736</v>
      </c>
      <c r="C6" t="s">
        <v>117</v>
      </c>
    </row>
    <row r="8" spans="1:3" ht="14.5" x14ac:dyDescent="0.35">
      <c r="A8" t="s">
        <v>119</v>
      </c>
      <c r="B8" s="24">
        <f>ETAF(100+273.15,vsub1(100+273.15,vapp(100+273.15)))*0.000001</f>
        <v>2.8216432457292182E-4</v>
      </c>
    </row>
    <row r="9" spans="1:3" ht="14.5" x14ac:dyDescent="0.35">
      <c r="A9" t="s">
        <v>120</v>
      </c>
      <c r="B9" s="25">
        <f>dynviscNacl(100,1.013245,2)</f>
        <v>3.4325094007405925E-4</v>
      </c>
    </row>
    <row r="11" spans="1:3" ht="14.5" x14ac:dyDescent="0.35">
      <c r="A11" t="s">
        <v>121</v>
      </c>
      <c r="B11" s="24">
        <f>hsub1(100+273.15,1.013245)</f>
        <v>419.06468350557191</v>
      </c>
    </row>
    <row r="12" spans="1:3" ht="14.5" x14ac:dyDescent="0.35">
      <c r="A12" t="s">
        <v>122</v>
      </c>
      <c r="B12" s="26">
        <f>hNaClsol(100,1.013245,2)</f>
        <v>502.61720978580672</v>
      </c>
    </row>
    <row r="14" spans="1:3" x14ac:dyDescent="0.25">
      <c r="A14" t="s">
        <v>123</v>
      </c>
      <c r="B14" s="27">
        <f>KHCO2(100,2)</f>
        <v>7425.1923828125</v>
      </c>
    </row>
    <row r="15" spans="1:3" x14ac:dyDescent="0.25">
      <c r="A15" t="s">
        <v>124</v>
      </c>
      <c r="B15" s="27"/>
    </row>
    <row r="16" spans="1:3" x14ac:dyDescent="0.25">
      <c r="A16" t="s">
        <v>125</v>
      </c>
      <c r="B16">
        <f>0.05*1000000</f>
        <v>50000</v>
      </c>
    </row>
    <row r="17" spans="1:2" x14ac:dyDescent="0.25">
      <c r="A17" t="s">
        <v>126</v>
      </c>
      <c r="B17">
        <f>B16/44</f>
        <v>1136.3636363636363</v>
      </c>
    </row>
    <row r="18" spans="1:2" x14ac:dyDescent="0.25">
      <c r="A18" t="s">
        <v>127</v>
      </c>
      <c r="B18">
        <f>950000/18</f>
        <v>52777.777777777781</v>
      </c>
    </row>
    <row r="19" spans="1:2" x14ac:dyDescent="0.25">
      <c r="A19" t="s">
        <v>128</v>
      </c>
      <c r="B19">
        <f>B17/(B17+B18)</f>
        <v>2.1077283372365335E-2</v>
      </c>
    </row>
    <row r="20" spans="1:2" x14ac:dyDescent="0.25">
      <c r="A20" t="s">
        <v>129</v>
      </c>
      <c r="B20">
        <f>B14*B19</f>
        <v>156.50288394686766</v>
      </c>
    </row>
    <row r="21" spans="1:2" x14ac:dyDescent="0.25">
      <c r="A21" t="s">
        <v>130</v>
      </c>
      <c r="B21">
        <f>(1-B19)*vapp(100+273.15)+B20</f>
        <v>157.49477270675041</v>
      </c>
    </row>
  </sheetData>
  <phoneticPr fontId="11" type="noConversion"/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B26F4E-7735-4C36-80EC-C446326A348A}">
  <sheetPr codeName="Sheet7"/>
  <dimension ref="A1:E4"/>
  <sheetViews>
    <sheetView tabSelected="1" zoomScale="205" zoomScaleNormal="205" workbookViewId="0">
      <selection activeCell="G9" sqref="G9"/>
    </sheetView>
  </sheetViews>
  <sheetFormatPr defaultRowHeight="12.5" x14ac:dyDescent="0.25"/>
  <sheetData>
    <row r="1" spans="1:5" x14ac:dyDescent="0.25">
      <c r="A1" s="14" t="s">
        <v>142</v>
      </c>
      <c r="D1" s="14" t="s">
        <v>141</v>
      </c>
      <c r="E1" s="14"/>
    </row>
    <row r="2" spans="1:5" x14ac:dyDescent="0.25">
      <c r="D2" s="14" t="s">
        <v>145</v>
      </c>
      <c r="E2">
        <v>1</v>
      </c>
    </row>
    <row r="3" spans="1:5" x14ac:dyDescent="0.25">
      <c r="A3" s="14" t="s">
        <v>143</v>
      </c>
      <c r="B3">
        <v>100</v>
      </c>
      <c r="C3" s="14" t="s">
        <v>114</v>
      </c>
      <c r="D3" s="14" t="s">
        <v>143</v>
      </c>
      <c r="E3">
        <v>100.9664056942152</v>
      </c>
    </row>
    <row r="4" spans="1:5" x14ac:dyDescent="0.25">
      <c r="A4" s="14" t="s">
        <v>144</v>
      </c>
      <c r="B4">
        <f>vapp(B3+273.15)</f>
        <v>1.013245216435261</v>
      </c>
      <c r="C4" s="14" t="s">
        <v>57</v>
      </c>
      <c r="D4" s="14" t="s">
        <v>144</v>
      </c>
      <c r="E4">
        <f>VAPPNaCl(E3,E2)</f>
        <v>1.0132329737828318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I146"/>
  <sheetViews>
    <sheetView showGridLines="0" topLeftCell="A88" zoomScale="200" workbookViewId="0">
      <selection activeCell="E142" sqref="E142"/>
    </sheetView>
  </sheetViews>
  <sheetFormatPr defaultColWidth="11.453125" defaultRowHeight="12.5" x14ac:dyDescent="0.25"/>
  <sheetData>
    <row r="1" spans="1:9" ht="15.5" x14ac:dyDescent="0.35">
      <c r="A1" s="16" t="s">
        <v>31</v>
      </c>
      <c r="B1" s="17"/>
      <c r="C1" s="17"/>
      <c r="D1" s="17"/>
      <c r="E1" s="17"/>
      <c r="F1" s="17"/>
      <c r="G1" s="17"/>
    </row>
    <row r="2" spans="1:9" x14ac:dyDescent="0.25">
      <c r="A2" s="4"/>
    </row>
    <row r="3" spans="1:9" s="4" customFormat="1" x14ac:dyDescent="0.25">
      <c r="A3" t="s">
        <v>32</v>
      </c>
      <c r="B3"/>
      <c r="C3"/>
      <c r="D3"/>
      <c r="E3"/>
      <c r="F3"/>
      <c r="G3" s="5"/>
      <c r="H3" s="5"/>
      <c r="I3" s="5"/>
    </row>
    <row r="4" spans="1:9" s="4" customFormat="1" x14ac:dyDescent="0.25">
      <c r="A4"/>
      <c r="B4"/>
      <c r="C4"/>
      <c r="D4"/>
      <c r="E4"/>
      <c r="F4"/>
    </row>
    <row r="5" spans="1:9" s="4" customFormat="1" ht="13" x14ac:dyDescent="0.3">
      <c r="A5" s="8" t="s">
        <v>33</v>
      </c>
      <c r="B5"/>
      <c r="C5"/>
      <c r="D5"/>
      <c r="E5"/>
      <c r="F5"/>
    </row>
    <row r="6" spans="1:9" s="4" customFormat="1" x14ac:dyDescent="0.25">
      <c r="A6"/>
      <c r="B6"/>
      <c r="C6"/>
      <c r="D6"/>
      <c r="E6"/>
      <c r="F6"/>
    </row>
    <row r="7" spans="1:9" s="4" customFormat="1" ht="13" x14ac:dyDescent="0.3">
      <c r="A7" t="s">
        <v>34</v>
      </c>
      <c r="B7"/>
      <c r="C7" s="7" t="s">
        <v>35</v>
      </c>
      <c r="D7"/>
      <c r="E7"/>
      <c r="F7"/>
    </row>
    <row r="8" spans="1:9" s="4" customFormat="1" x14ac:dyDescent="0.25">
      <c r="A8"/>
      <c r="B8"/>
      <c r="C8"/>
      <c r="D8"/>
      <c r="E8"/>
      <c r="F8"/>
    </row>
    <row r="9" spans="1:9" s="4" customFormat="1" x14ac:dyDescent="0.25">
      <c r="A9" t="s">
        <v>36</v>
      </c>
      <c r="B9"/>
      <c r="C9" t="s">
        <v>37</v>
      </c>
      <c r="D9" t="s">
        <v>38</v>
      </c>
      <c r="E9"/>
      <c r="F9"/>
    </row>
    <row r="10" spans="1:9" s="4" customFormat="1" x14ac:dyDescent="0.25">
      <c r="A10"/>
      <c r="B10"/>
      <c r="C10"/>
      <c r="D10"/>
      <c r="E10"/>
      <c r="F10"/>
    </row>
    <row r="11" spans="1:9" s="4" customFormat="1" x14ac:dyDescent="0.25">
      <c r="A11" t="s">
        <v>39</v>
      </c>
      <c r="B11"/>
      <c r="C11" t="s">
        <v>40</v>
      </c>
      <c r="D11"/>
      <c r="E11"/>
      <c r="F11"/>
    </row>
    <row r="13" spans="1:9" x14ac:dyDescent="0.25">
      <c r="A13" t="s">
        <v>41</v>
      </c>
      <c r="C13" t="s">
        <v>42</v>
      </c>
    </row>
    <row r="15" spans="1:9" x14ac:dyDescent="0.25">
      <c r="A15" t="s">
        <v>43</v>
      </c>
      <c r="C15" t="s">
        <v>44</v>
      </c>
    </row>
    <row r="16" spans="1:9" ht="13" x14ac:dyDescent="0.3">
      <c r="C16" t="s">
        <v>45</v>
      </c>
      <c r="F16" s="7" t="s">
        <v>46</v>
      </c>
    </row>
    <row r="17" spans="1:7" x14ac:dyDescent="0.25">
      <c r="C17" t="s">
        <v>47</v>
      </c>
      <c r="F17" s="9">
        <f>waterprop.BOILP(1)-273.15</f>
        <v>99.632162761688221</v>
      </c>
      <c r="G17" t="s">
        <v>48</v>
      </c>
    </row>
    <row r="18" spans="1:7" x14ac:dyDescent="0.25">
      <c r="F18" s="6"/>
    </row>
    <row r="19" spans="1:7" ht="13" x14ac:dyDescent="0.3">
      <c r="A19" s="8" t="s">
        <v>49</v>
      </c>
    </row>
    <row r="21" spans="1:7" ht="13" x14ac:dyDescent="0.3">
      <c r="A21" t="s">
        <v>34</v>
      </c>
      <c r="C21" s="3" t="s">
        <v>50</v>
      </c>
    </row>
    <row r="23" spans="1:7" x14ac:dyDescent="0.25">
      <c r="A23" t="s">
        <v>36</v>
      </c>
      <c r="C23" t="s">
        <v>51</v>
      </c>
      <c r="D23" t="s">
        <v>52</v>
      </c>
    </row>
    <row r="25" spans="1:7" x14ac:dyDescent="0.25">
      <c r="A25" t="s">
        <v>39</v>
      </c>
      <c r="C25" t="s">
        <v>53</v>
      </c>
    </row>
    <row r="27" spans="1:7" x14ac:dyDescent="0.25">
      <c r="A27" t="s">
        <v>41</v>
      </c>
      <c r="C27" t="s">
        <v>54</v>
      </c>
    </row>
    <row r="29" spans="1:7" x14ac:dyDescent="0.25">
      <c r="A29" t="s">
        <v>43</v>
      </c>
      <c r="C29" t="s">
        <v>55</v>
      </c>
    </row>
    <row r="30" spans="1:7" ht="13" x14ac:dyDescent="0.3">
      <c r="C30" t="s">
        <v>45</v>
      </c>
      <c r="F30" s="7" t="s">
        <v>56</v>
      </c>
    </row>
    <row r="31" spans="1:7" x14ac:dyDescent="0.25">
      <c r="C31" t="s">
        <v>47</v>
      </c>
      <c r="F31" s="10">
        <f>waterprop.VAPP(373.15)</f>
        <v>1.013245216435261</v>
      </c>
      <c r="G31" t="s">
        <v>57</v>
      </c>
    </row>
    <row r="33" spans="1:7" ht="13" x14ac:dyDescent="0.3">
      <c r="A33" s="8" t="s">
        <v>58</v>
      </c>
    </row>
    <row r="35" spans="1:7" ht="13" x14ac:dyDescent="0.3">
      <c r="A35" t="s">
        <v>34</v>
      </c>
      <c r="C35" s="3" t="s">
        <v>59</v>
      </c>
    </row>
    <row r="37" spans="1:7" x14ac:dyDescent="0.25">
      <c r="A37" t="s">
        <v>36</v>
      </c>
      <c r="C37" t="s">
        <v>60</v>
      </c>
      <c r="D37" t="s">
        <v>52</v>
      </c>
    </row>
    <row r="38" spans="1:7" x14ac:dyDescent="0.25">
      <c r="C38" t="s">
        <v>37</v>
      </c>
      <c r="D38" t="s">
        <v>38</v>
      </c>
    </row>
    <row r="40" spans="1:7" ht="14.5" x14ac:dyDescent="0.25">
      <c r="A40" t="s">
        <v>39</v>
      </c>
      <c r="C40" t="s">
        <v>61</v>
      </c>
    </row>
    <row r="42" spans="1:7" x14ac:dyDescent="0.25">
      <c r="A42" t="s">
        <v>41</v>
      </c>
      <c r="C42" t="s">
        <v>62</v>
      </c>
    </row>
    <row r="43" spans="1:7" x14ac:dyDescent="0.25">
      <c r="C43" t="s">
        <v>63</v>
      </c>
    </row>
    <row r="45" spans="1:7" x14ac:dyDescent="0.25">
      <c r="A45" t="s">
        <v>43</v>
      </c>
      <c r="C45" t="s">
        <v>64</v>
      </c>
    </row>
    <row r="46" spans="1:7" ht="13" x14ac:dyDescent="0.3">
      <c r="C46" t="s">
        <v>45</v>
      </c>
      <c r="F46" s="7" t="s">
        <v>65</v>
      </c>
    </row>
    <row r="47" spans="1:7" ht="14.5" x14ac:dyDescent="0.25">
      <c r="C47" t="s">
        <v>47</v>
      </c>
      <c r="F47" s="11">
        <f>1/waterprop.VSUB1(293.15,1)</f>
        <v>998.3226855966625</v>
      </c>
      <c r="G47" t="s">
        <v>66</v>
      </c>
    </row>
    <row r="49" spans="1:7" ht="13" x14ac:dyDescent="0.3">
      <c r="A49" s="8" t="s">
        <v>67</v>
      </c>
    </row>
    <row r="51" spans="1:7" ht="13" x14ac:dyDescent="0.3">
      <c r="A51" t="s">
        <v>34</v>
      </c>
      <c r="C51" s="3" t="s">
        <v>68</v>
      </c>
    </row>
    <row r="53" spans="1:7" x14ac:dyDescent="0.25">
      <c r="A53" t="s">
        <v>36</v>
      </c>
      <c r="C53" t="s">
        <v>60</v>
      </c>
      <c r="D53" t="s">
        <v>52</v>
      </c>
    </row>
    <row r="54" spans="1:7" x14ac:dyDescent="0.25">
      <c r="C54" t="s">
        <v>37</v>
      </c>
      <c r="D54" t="s">
        <v>38</v>
      </c>
    </row>
    <row r="56" spans="1:7" ht="14.5" x14ac:dyDescent="0.25">
      <c r="A56" t="s">
        <v>39</v>
      </c>
      <c r="C56" t="s">
        <v>61</v>
      </c>
    </row>
    <row r="58" spans="1:7" x14ac:dyDescent="0.25">
      <c r="A58" t="s">
        <v>41</v>
      </c>
      <c r="C58" t="s">
        <v>69</v>
      </c>
    </row>
    <row r="59" spans="1:7" x14ac:dyDescent="0.25">
      <c r="C59" t="s">
        <v>70</v>
      </c>
    </row>
    <row r="61" spans="1:7" x14ac:dyDescent="0.25">
      <c r="A61" t="s">
        <v>43</v>
      </c>
      <c r="C61" t="s">
        <v>71</v>
      </c>
    </row>
    <row r="62" spans="1:7" x14ac:dyDescent="0.25">
      <c r="C62" t="s">
        <v>72</v>
      </c>
    </row>
    <row r="63" spans="1:7" ht="13" x14ac:dyDescent="0.3">
      <c r="C63" t="s">
        <v>45</v>
      </c>
      <c r="F63" s="7" t="s">
        <v>73</v>
      </c>
    </row>
    <row r="64" spans="1:7" ht="14.5" x14ac:dyDescent="0.25">
      <c r="C64" t="s">
        <v>47</v>
      </c>
      <c r="F64" s="12">
        <f>waterprop.VSUB2(waterprop.BOILP(5),5)</f>
        <v>0.37467823275748852</v>
      </c>
      <c r="G64" t="s">
        <v>74</v>
      </c>
    </row>
    <row r="66" spans="1:7" ht="13" x14ac:dyDescent="0.3">
      <c r="A66" s="8" t="s">
        <v>75</v>
      </c>
    </row>
    <row r="68" spans="1:7" ht="13" x14ac:dyDescent="0.3">
      <c r="A68" t="s">
        <v>34</v>
      </c>
      <c r="C68" s="3" t="s">
        <v>76</v>
      </c>
    </row>
    <row r="70" spans="1:7" x14ac:dyDescent="0.25">
      <c r="A70" t="s">
        <v>36</v>
      </c>
      <c r="C70" t="s">
        <v>60</v>
      </c>
      <c r="D70" t="s">
        <v>52</v>
      </c>
    </row>
    <row r="71" spans="1:7" x14ac:dyDescent="0.25">
      <c r="C71" t="s">
        <v>37</v>
      </c>
      <c r="D71" t="s">
        <v>38</v>
      </c>
    </row>
    <row r="73" spans="1:7" x14ac:dyDescent="0.25">
      <c r="A73" t="s">
        <v>39</v>
      </c>
      <c r="C73" t="s">
        <v>77</v>
      </c>
    </row>
    <row r="75" spans="1:7" x14ac:dyDescent="0.25">
      <c r="A75" t="s">
        <v>41</v>
      </c>
      <c r="C75" t="s">
        <v>62</v>
      </c>
    </row>
    <row r="76" spans="1:7" x14ac:dyDescent="0.25">
      <c r="C76" t="s">
        <v>63</v>
      </c>
    </row>
    <row r="78" spans="1:7" x14ac:dyDescent="0.25">
      <c r="A78" t="s">
        <v>43</v>
      </c>
      <c r="C78" t="s">
        <v>78</v>
      </c>
    </row>
    <row r="79" spans="1:7" ht="13" x14ac:dyDescent="0.3">
      <c r="C79" t="s">
        <v>45</v>
      </c>
      <c r="F79" s="3" t="s">
        <v>79</v>
      </c>
    </row>
    <row r="80" spans="1:7" x14ac:dyDescent="0.25">
      <c r="C80" t="s">
        <v>47</v>
      </c>
      <c r="F80" s="11">
        <f>waterprop.HSUB1(293.15,1)</f>
        <v>83.953556157521405</v>
      </c>
      <c r="G80" t="s">
        <v>80</v>
      </c>
    </row>
    <row r="82" spans="1:6" ht="13" x14ac:dyDescent="0.3">
      <c r="A82" s="8" t="s">
        <v>81</v>
      </c>
    </row>
    <row r="84" spans="1:6" ht="13" x14ac:dyDescent="0.3">
      <c r="A84" t="s">
        <v>34</v>
      </c>
      <c r="C84" s="3" t="s">
        <v>82</v>
      </c>
    </row>
    <row r="86" spans="1:6" x14ac:dyDescent="0.25">
      <c r="A86" t="s">
        <v>36</v>
      </c>
      <c r="C86" t="s">
        <v>60</v>
      </c>
      <c r="D86" t="s">
        <v>52</v>
      </c>
    </row>
    <row r="87" spans="1:6" x14ac:dyDescent="0.25">
      <c r="C87" t="s">
        <v>37</v>
      </c>
      <c r="D87" t="s">
        <v>38</v>
      </c>
    </row>
    <row r="89" spans="1:6" x14ac:dyDescent="0.25">
      <c r="A89" t="s">
        <v>39</v>
      </c>
      <c r="C89" t="s">
        <v>77</v>
      </c>
    </row>
    <row r="91" spans="1:6" x14ac:dyDescent="0.25">
      <c r="A91" t="s">
        <v>41</v>
      </c>
      <c r="C91" t="s">
        <v>69</v>
      </c>
    </row>
    <row r="92" spans="1:6" x14ac:dyDescent="0.25">
      <c r="C92" t="s">
        <v>70</v>
      </c>
    </row>
    <row r="94" spans="1:6" x14ac:dyDescent="0.25">
      <c r="A94" t="s">
        <v>43</v>
      </c>
      <c r="C94" t="s">
        <v>83</v>
      </c>
    </row>
    <row r="95" spans="1:6" x14ac:dyDescent="0.25">
      <c r="C95" t="s">
        <v>72</v>
      </c>
    </row>
    <row r="96" spans="1:6" ht="13" x14ac:dyDescent="0.3">
      <c r="C96" t="s">
        <v>45</v>
      </c>
      <c r="F96" s="7" t="s">
        <v>84</v>
      </c>
    </row>
    <row r="97" spans="1:7" x14ac:dyDescent="0.25">
      <c r="C97" t="s">
        <v>47</v>
      </c>
      <c r="F97" s="11">
        <f>waterprop.HSUB2(waterprop.BOILP(5),5)</f>
        <v>2747.5394336279815</v>
      </c>
      <c r="G97" t="s">
        <v>80</v>
      </c>
    </row>
    <row r="99" spans="1:7" ht="13" x14ac:dyDescent="0.3">
      <c r="A99" s="8" t="s">
        <v>85</v>
      </c>
    </row>
    <row r="101" spans="1:7" ht="13" x14ac:dyDescent="0.3">
      <c r="A101" t="s">
        <v>34</v>
      </c>
      <c r="C101" s="3" t="s">
        <v>86</v>
      </c>
    </row>
    <row r="103" spans="1:7" x14ac:dyDescent="0.25">
      <c r="A103" t="s">
        <v>36</v>
      </c>
      <c r="C103" t="s">
        <v>60</v>
      </c>
      <c r="D103" t="s">
        <v>52</v>
      </c>
    </row>
    <row r="104" spans="1:7" x14ac:dyDescent="0.25">
      <c r="C104" t="s">
        <v>37</v>
      </c>
      <c r="D104" t="s">
        <v>38</v>
      </c>
    </row>
    <row r="105" spans="1:7" x14ac:dyDescent="0.25">
      <c r="C105" t="s">
        <v>87</v>
      </c>
      <c r="D105" t="s">
        <v>88</v>
      </c>
    </row>
    <row r="107" spans="1:7" x14ac:dyDescent="0.25">
      <c r="A107" t="s">
        <v>39</v>
      </c>
      <c r="C107" t="s">
        <v>89</v>
      </c>
    </row>
    <row r="109" spans="1:7" x14ac:dyDescent="0.25">
      <c r="A109" t="s">
        <v>41</v>
      </c>
      <c r="C109" t="s">
        <v>69</v>
      </c>
    </row>
    <row r="110" spans="1:7" x14ac:dyDescent="0.25">
      <c r="C110" t="s">
        <v>90</v>
      </c>
    </row>
    <row r="112" spans="1:7" x14ac:dyDescent="0.25">
      <c r="A112" t="s">
        <v>43</v>
      </c>
      <c r="C112" t="s">
        <v>91</v>
      </c>
    </row>
    <row r="113" spans="1:7" ht="13" x14ac:dyDescent="0.3">
      <c r="C113" t="s">
        <v>45</v>
      </c>
      <c r="F113" s="7" t="s">
        <v>92</v>
      </c>
    </row>
    <row r="114" spans="1:7" x14ac:dyDescent="0.25">
      <c r="C114" t="s">
        <v>47</v>
      </c>
      <c r="F114" s="10">
        <f>waterprop.HCAP(293.15,1,1)</f>
        <v>4.1818512032788249</v>
      </c>
      <c r="G114" t="s">
        <v>93</v>
      </c>
    </row>
    <row r="116" spans="1:7" ht="13" x14ac:dyDescent="0.3">
      <c r="A116" s="8" t="s">
        <v>94</v>
      </c>
    </row>
    <row r="118" spans="1:7" ht="13" x14ac:dyDescent="0.3">
      <c r="A118" t="s">
        <v>34</v>
      </c>
      <c r="C118" s="3" t="s">
        <v>95</v>
      </c>
    </row>
    <row r="120" spans="1:7" x14ac:dyDescent="0.25">
      <c r="A120" t="s">
        <v>36</v>
      </c>
      <c r="C120" t="s">
        <v>60</v>
      </c>
      <c r="D120" t="s">
        <v>52</v>
      </c>
    </row>
    <row r="121" spans="1:7" x14ac:dyDescent="0.25">
      <c r="C121" t="s">
        <v>96</v>
      </c>
      <c r="D121" t="s">
        <v>97</v>
      </c>
    </row>
    <row r="123" spans="1:7" ht="14.5" x14ac:dyDescent="0.25">
      <c r="A123" t="s">
        <v>39</v>
      </c>
      <c r="C123" t="s">
        <v>98</v>
      </c>
    </row>
    <row r="125" spans="1:7" x14ac:dyDescent="0.25">
      <c r="A125" t="s">
        <v>41</v>
      </c>
      <c r="C125" t="s">
        <v>99</v>
      </c>
    </row>
    <row r="126" spans="1:7" x14ac:dyDescent="0.25">
      <c r="C126" t="s">
        <v>100</v>
      </c>
    </row>
    <row r="128" spans="1:7" x14ac:dyDescent="0.25">
      <c r="A128" t="s">
        <v>43</v>
      </c>
      <c r="C128" t="s">
        <v>101</v>
      </c>
    </row>
    <row r="129" spans="1:7" ht="13" x14ac:dyDescent="0.3">
      <c r="C129" t="s">
        <v>45</v>
      </c>
      <c r="F129" s="3" t="s">
        <v>102</v>
      </c>
    </row>
    <row r="130" spans="1:7" x14ac:dyDescent="0.25">
      <c r="C130" t="s">
        <v>47</v>
      </c>
      <c r="F130" s="13">
        <f>waterprop.ETAF(293.15,waterprop.VSUB1(293.15,1))*0.000001</f>
        <v>1.0026466829347921E-3</v>
      </c>
      <c r="G130" t="s">
        <v>103</v>
      </c>
    </row>
    <row r="132" spans="1:7" ht="13" x14ac:dyDescent="0.3">
      <c r="A132" s="8" t="s">
        <v>104</v>
      </c>
    </row>
    <row r="134" spans="1:7" ht="13" x14ac:dyDescent="0.3">
      <c r="A134" t="s">
        <v>34</v>
      </c>
      <c r="C134" s="3" t="s">
        <v>105</v>
      </c>
    </row>
    <row r="136" spans="1:7" x14ac:dyDescent="0.25">
      <c r="A136" t="s">
        <v>36</v>
      </c>
      <c r="C136" t="s">
        <v>60</v>
      </c>
      <c r="D136" t="s">
        <v>52</v>
      </c>
    </row>
    <row r="137" spans="1:7" ht="14.5" x14ac:dyDescent="0.25">
      <c r="C137" t="s">
        <v>96</v>
      </c>
      <c r="D137" t="s">
        <v>61</v>
      </c>
    </row>
    <row r="139" spans="1:7" x14ac:dyDescent="0.25">
      <c r="A139" t="s">
        <v>39</v>
      </c>
      <c r="C139" t="s">
        <v>106</v>
      </c>
    </row>
    <row r="141" spans="1:7" x14ac:dyDescent="0.25">
      <c r="A141" t="s">
        <v>41</v>
      </c>
      <c r="C141" t="s">
        <v>107</v>
      </c>
    </row>
    <row r="142" spans="1:7" x14ac:dyDescent="0.25">
      <c r="C142" t="s">
        <v>108</v>
      </c>
    </row>
    <row r="144" spans="1:7" x14ac:dyDescent="0.25">
      <c r="A144" t="s">
        <v>43</v>
      </c>
      <c r="C144" t="s">
        <v>109</v>
      </c>
    </row>
    <row r="145" spans="3:7" ht="13" x14ac:dyDescent="0.3">
      <c r="C145" t="s">
        <v>45</v>
      </c>
      <c r="F145" s="3" t="s">
        <v>110</v>
      </c>
    </row>
    <row r="146" spans="3:7" x14ac:dyDescent="0.25">
      <c r="C146" t="s">
        <v>47</v>
      </c>
      <c r="F146" s="12">
        <f>waterprop.TCON(BOILP(5),waterprop.VSUB2(BOILP(5),5))</f>
        <v>3.1033674854352045E-2</v>
      </c>
      <c r="G146" t="s">
        <v>111</v>
      </c>
    </row>
  </sheetData>
  <sheetProtection password="D68A" sheet="1" objects="1" scenarios="1"/>
  <phoneticPr fontId="0" type="noConversion"/>
  <printOptions gridLinesSet="0"/>
  <pageMargins left="0.75" right="0.75" top="1" bottom="1" header="0.51181102300000003" footer="0.51181102300000003"/>
  <pageSetup paperSize="9" orientation="portrait" horizontalDpi="300" verticalDpi="300" r:id="rId1"/>
  <headerFooter alignWithMargins="0">
    <oddHeader>&amp;A</oddHeader>
    <oddFooter>Seite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Info</vt:lpstr>
      <vt:lpstr>Usage</vt:lpstr>
      <vt:lpstr>Sheet2</vt:lpstr>
      <vt:lpstr>Sheet3</vt:lpstr>
      <vt:lpstr>Sheet1</vt:lpstr>
      <vt:lpstr>Sheet4</vt:lpstr>
      <vt:lpstr>Reference</vt:lpstr>
      <vt:lpstr>Chart1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Wasser</dc:title>
  <dc:subject>Stoffwerte fuer Wasser</dc:subject>
  <dc:creator>Bernhard Spang</dc:creator>
  <cp:lastModifiedBy>Ali Ashat</cp:lastModifiedBy>
  <dcterms:created xsi:type="dcterms:W3CDTF">2000-03-07T14:08:14Z</dcterms:created>
  <dcterms:modified xsi:type="dcterms:W3CDTF">2024-11-29T09:52:32Z</dcterms:modified>
</cp:coreProperties>
</file>