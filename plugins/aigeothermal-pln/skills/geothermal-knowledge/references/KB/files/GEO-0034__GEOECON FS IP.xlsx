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donesiapower-my.sharepoint.com/personal/muhammad_hammam_indonesiapower_co_id/Documents/01 Indonesia Power/03 Materi Training-Diklat-Webinar/Training Geothermal Nov-Des 2024/D9/"/>
    </mc:Choice>
  </mc:AlternateContent>
  <xr:revisionPtr revIDLastSave="55" documentId="8_{57432852-D325-4245-875E-DE37CE471813}" xr6:coauthVersionLast="47" xr6:coauthVersionMax="47" xr10:uidLastSave="{8790307F-9A15-4C92-89D9-E65896EC37B9}"/>
  <bookViews>
    <workbookView xWindow="-108" yWindow="-108" windowWidth="23256" windowHeight="13896" tabRatio="594" xr2:uid="{00000000-000D-0000-FFFF-FFFF00000000}"/>
  </bookViews>
  <sheets>
    <sheet name="Geocon" sheetId="1" r:id="rId1"/>
  </sheets>
  <definedNames>
    <definedName name="_xlnm.Print_Area" localSheetId="0">Geocon!$A$72:$BB$150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1" l="1"/>
  <c r="H43" i="1"/>
  <c r="H27" i="1"/>
  <c r="H20" i="1"/>
  <c r="G20" i="1"/>
  <c r="F20" i="1"/>
  <c r="C87" i="1"/>
  <c r="D87" i="1"/>
  <c r="AP87" i="1"/>
  <c r="AQ87" i="1"/>
  <c r="B87" i="1"/>
  <c r="C75" i="1"/>
  <c r="D75" i="1"/>
  <c r="AP75" i="1"/>
  <c r="AQ75" i="1"/>
  <c r="AR75" i="1"/>
  <c r="B75" i="1"/>
  <c r="C104" i="1"/>
  <c r="D104" i="1"/>
  <c r="AP104" i="1"/>
  <c r="AQ104" i="1"/>
  <c r="AR104" i="1"/>
  <c r="AS104" i="1"/>
  <c r="AT104" i="1"/>
  <c r="AU104" i="1"/>
  <c r="AV104" i="1"/>
  <c r="AW104" i="1"/>
  <c r="B104" i="1"/>
  <c r="E6" i="1"/>
  <c r="F6" i="1" s="1"/>
  <c r="G6" i="1" s="1"/>
  <c r="H6" i="1" s="1"/>
  <c r="I6" i="1" s="1"/>
  <c r="J6" i="1" s="1"/>
  <c r="K6" i="1" s="1"/>
  <c r="L6" i="1" s="1"/>
  <c r="M6" i="1" s="1"/>
  <c r="N6" i="1" s="1"/>
  <c r="N75" i="1" s="1"/>
  <c r="K5" i="1"/>
  <c r="D37" i="1"/>
  <c r="E37" i="1"/>
  <c r="F37" i="1"/>
  <c r="G37" i="1"/>
  <c r="H37" i="1"/>
  <c r="C37" i="1"/>
  <c r="B37" i="1"/>
  <c r="K8" i="1"/>
  <c r="K37" i="1" s="1"/>
  <c r="L8" i="1"/>
  <c r="L37" i="1" s="1"/>
  <c r="M8" i="1"/>
  <c r="M37" i="1" s="1"/>
  <c r="N8" i="1"/>
  <c r="N37" i="1" s="1"/>
  <c r="O8" i="1"/>
  <c r="O37" i="1" s="1"/>
  <c r="P8" i="1"/>
  <c r="P37" i="1" s="1"/>
  <c r="Q8" i="1"/>
  <c r="Q37" i="1" s="1"/>
  <c r="R8" i="1"/>
  <c r="R37" i="1" s="1"/>
  <c r="S8" i="1"/>
  <c r="S37" i="1" s="1"/>
  <c r="T8" i="1"/>
  <c r="T37" i="1" s="1"/>
  <c r="U8" i="1"/>
  <c r="U37" i="1" s="1"/>
  <c r="V8" i="1"/>
  <c r="V37" i="1" s="1"/>
  <c r="W8" i="1"/>
  <c r="W37" i="1" s="1"/>
  <c r="X8" i="1"/>
  <c r="X37" i="1" s="1"/>
  <c r="Y8" i="1"/>
  <c r="Y37" i="1" s="1"/>
  <c r="Z8" i="1"/>
  <c r="Z37" i="1" s="1"/>
  <c r="AA8" i="1"/>
  <c r="AA37" i="1" s="1"/>
  <c r="AB8" i="1"/>
  <c r="AB37" i="1" s="1"/>
  <c r="AC8" i="1"/>
  <c r="AC37" i="1" s="1"/>
  <c r="AD8" i="1"/>
  <c r="AD37" i="1" s="1"/>
  <c r="AE8" i="1"/>
  <c r="AE37" i="1" s="1"/>
  <c r="AF8" i="1"/>
  <c r="AF37" i="1" s="1"/>
  <c r="AG8" i="1"/>
  <c r="AG37" i="1" s="1"/>
  <c r="AH8" i="1"/>
  <c r="AH37" i="1" s="1"/>
  <c r="AI8" i="1"/>
  <c r="AI37" i="1" s="1"/>
  <c r="AJ8" i="1"/>
  <c r="AJ37" i="1" s="1"/>
  <c r="AK8" i="1"/>
  <c r="AK37" i="1" s="1"/>
  <c r="AL8" i="1"/>
  <c r="AL37" i="1" s="1"/>
  <c r="AM8" i="1"/>
  <c r="AM37" i="1" s="1"/>
  <c r="AN8" i="1"/>
  <c r="AN37" i="1" s="1"/>
  <c r="AO8" i="1"/>
  <c r="AO37" i="1" s="1"/>
  <c r="J8" i="1"/>
  <c r="J37" i="1" s="1"/>
  <c r="I8" i="1"/>
  <c r="I37" i="1" s="1"/>
  <c r="N87" i="1" l="1"/>
  <c r="J75" i="1"/>
  <c r="M87" i="1"/>
  <c r="H75" i="1"/>
  <c r="L87" i="1"/>
  <c r="M104" i="1"/>
  <c r="G75" i="1"/>
  <c r="K87" i="1"/>
  <c r="L104" i="1"/>
  <c r="J87" i="1"/>
  <c r="I87" i="1"/>
  <c r="G104" i="1"/>
  <c r="E104" i="1"/>
  <c r="H87" i="1"/>
  <c r="G87" i="1"/>
  <c r="F87" i="1"/>
  <c r="E87" i="1"/>
  <c r="N104" i="1"/>
  <c r="F104" i="1"/>
  <c r="I75" i="1"/>
  <c r="K104" i="1"/>
  <c r="F75" i="1"/>
  <c r="J104" i="1"/>
  <c r="M75" i="1"/>
  <c r="E75" i="1"/>
  <c r="I104" i="1"/>
  <c r="L75" i="1"/>
  <c r="H104" i="1"/>
  <c r="K75" i="1"/>
  <c r="F45" i="1" l="1"/>
  <c r="J7" i="1"/>
  <c r="K7" i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AO7" i="1" s="1"/>
  <c r="I12" i="1"/>
  <c r="I49" i="1" s="1"/>
  <c r="K12" i="1"/>
  <c r="K47" i="1" s="1"/>
  <c r="K49" i="1" s="1"/>
  <c r="L13" i="1"/>
  <c r="M13" i="1"/>
  <c r="N13" i="1"/>
  <c r="O12" i="1"/>
  <c r="O47" i="1" s="1"/>
  <c r="O49" i="1" s="1"/>
  <c r="P13" i="1"/>
  <c r="Q13" i="1"/>
  <c r="R13" i="1"/>
  <c r="S12" i="1"/>
  <c r="S47" i="1" s="1"/>
  <c r="S49" i="1" s="1"/>
  <c r="T13" i="1"/>
  <c r="U13" i="1"/>
  <c r="V13" i="1"/>
  <c r="W12" i="1"/>
  <c r="W47" i="1" s="1"/>
  <c r="W49" i="1" s="1"/>
  <c r="X13" i="1"/>
  <c r="Y13" i="1"/>
  <c r="Z13" i="1"/>
  <c r="AA12" i="1"/>
  <c r="AA47" i="1" s="1"/>
  <c r="AA49" i="1" s="1"/>
  <c r="AB13" i="1"/>
  <c r="AC13" i="1"/>
  <c r="AD13" i="1"/>
  <c r="AE12" i="1"/>
  <c r="AE47" i="1" s="1"/>
  <c r="AE49" i="1" s="1"/>
  <c r="AF13" i="1"/>
  <c r="AG13" i="1"/>
  <c r="AH13" i="1"/>
  <c r="AI12" i="1"/>
  <c r="AI47" i="1" s="1"/>
  <c r="AI49" i="1" s="1"/>
  <c r="AJ13" i="1"/>
  <c r="AK13" i="1"/>
  <c r="AL13" i="1"/>
  <c r="AM12" i="1"/>
  <c r="AM47" i="1" s="1"/>
  <c r="AM49" i="1" s="1"/>
  <c r="B12" i="1"/>
  <c r="B47" i="1" s="1"/>
  <c r="B49" i="1" s="1"/>
  <c r="C12" i="1"/>
  <c r="D12" i="1"/>
  <c r="D47" i="1" s="1"/>
  <c r="D49" i="1" s="1"/>
  <c r="E12" i="1"/>
  <c r="E47" i="1" s="1"/>
  <c r="E49" i="1" s="1"/>
  <c r="F12" i="1"/>
  <c r="F47" i="1" s="1"/>
  <c r="F49" i="1" s="1"/>
  <c r="G12" i="1"/>
  <c r="H12" i="1"/>
  <c r="H47" i="1" s="1"/>
  <c r="H49" i="1" s="1"/>
  <c r="M12" i="1"/>
  <c r="M47" i="1" s="1"/>
  <c r="M49" i="1" s="1"/>
  <c r="P12" i="1"/>
  <c r="P47" i="1" s="1"/>
  <c r="P49" i="1" s="1"/>
  <c r="X12" i="1"/>
  <c r="X47" i="1" s="1"/>
  <c r="X49" i="1" s="1"/>
  <c r="AB12" i="1"/>
  <c r="AB47" i="1" s="1"/>
  <c r="AB49" i="1" s="1"/>
  <c r="AJ12" i="1"/>
  <c r="AJ47" i="1" s="1"/>
  <c r="AJ49" i="1" s="1"/>
  <c r="AN12" i="1"/>
  <c r="AN47" i="1" s="1"/>
  <c r="AN49" i="1" s="1"/>
  <c r="AO12" i="1"/>
  <c r="AO47" i="1" s="1"/>
  <c r="AO49" i="1" s="1"/>
  <c r="B13" i="1"/>
  <c r="C13" i="1"/>
  <c r="D13" i="1"/>
  <c r="E13" i="1"/>
  <c r="F13" i="1"/>
  <c r="G13" i="1"/>
  <c r="H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N17" i="1" s="1"/>
  <c r="AN187" i="1" s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O17" i="1"/>
  <c r="J19" i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AJ19" i="1" s="1"/>
  <c r="AK19" i="1" s="1"/>
  <c r="AL19" i="1" s="1"/>
  <c r="AM19" i="1" s="1"/>
  <c r="AN19" i="1" s="1"/>
  <c r="AO19" i="1" s="1"/>
  <c r="F28" i="1"/>
  <c r="F76" i="1" s="1"/>
  <c r="T25" i="1"/>
  <c r="AB25" i="1"/>
  <c r="AB28" i="1" s="1"/>
  <c r="AF25" i="1"/>
  <c r="AF28" i="1" s="1"/>
  <c r="H29" i="1"/>
  <c r="I28" i="1"/>
  <c r="K25" i="1"/>
  <c r="K28" i="1" s="1"/>
  <c r="M25" i="1"/>
  <c r="M28" i="1" s="1"/>
  <c r="N25" i="1"/>
  <c r="N28" i="1" s="1"/>
  <c r="O25" i="1"/>
  <c r="O28" i="1" s="1"/>
  <c r="P25" i="1"/>
  <c r="P28" i="1" s="1"/>
  <c r="Q25" i="1"/>
  <c r="R25" i="1"/>
  <c r="R28" i="1"/>
  <c r="R30" i="1" s="1"/>
  <c r="B121" i="1" s="1"/>
  <c r="R121" i="1" s="1"/>
  <c r="S25" i="1"/>
  <c r="S28" i="1" s="1"/>
  <c r="U25" i="1"/>
  <c r="U28" i="1" s="1"/>
  <c r="V25" i="1"/>
  <c r="V28" i="1" s="1"/>
  <c r="W25" i="1"/>
  <c r="W28" i="1" s="1"/>
  <c r="X25" i="1"/>
  <c r="X28" i="1" s="1"/>
  <c r="Y25" i="1"/>
  <c r="Z25" i="1"/>
  <c r="Z28" i="1" s="1"/>
  <c r="AA25" i="1"/>
  <c r="AA28" i="1" s="1"/>
  <c r="AC25" i="1"/>
  <c r="AC28" i="1" s="1"/>
  <c r="AC61" i="1" s="1"/>
  <c r="AD25" i="1"/>
  <c r="AD28" i="1" s="1"/>
  <c r="AE25" i="1"/>
  <c r="AG25" i="1"/>
  <c r="AH25" i="1"/>
  <c r="AH28" i="1" s="1"/>
  <c r="AI25" i="1"/>
  <c r="AI28" i="1" s="1"/>
  <c r="AJ25" i="1"/>
  <c r="AJ28" i="1" s="1"/>
  <c r="AK25" i="1"/>
  <c r="AK28" i="1" s="1"/>
  <c r="AK61" i="1" s="1"/>
  <c r="AL25" i="1"/>
  <c r="AL28" i="1" s="1"/>
  <c r="AM25" i="1"/>
  <c r="AM28" i="1" s="1"/>
  <c r="AN25" i="1"/>
  <c r="AN28" i="1" s="1"/>
  <c r="AO25" i="1"/>
  <c r="AO28" i="1" s="1"/>
  <c r="C28" i="1"/>
  <c r="D28" i="1"/>
  <c r="E28" i="1"/>
  <c r="H28" i="1"/>
  <c r="H76" i="1" s="1"/>
  <c r="J28" i="1"/>
  <c r="Q28" i="1"/>
  <c r="Q30" i="1" s="1"/>
  <c r="B120" i="1" s="1"/>
  <c r="Y28" i="1"/>
  <c r="Y61" i="1" s="1"/>
  <c r="AE28" i="1"/>
  <c r="AG28" i="1"/>
  <c r="B29" i="1"/>
  <c r="C29" i="1"/>
  <c r="D29" i="1"/>
  <c r="D30" i="1" s="1"/>
  <c r="B107" i="1" s="1"/>
  <c r="E29" i="1"/>
  <c r="E30" i="1" s="1"/>
  <c r="B108" i="1" s="1"/>
  <c r="J29" i="1"/>
  <c r="K29" i="1"/>
  <c r="L29" i="1"/>
  <c r="M29" i="1"/>
  <c r="N29" i="1"/>
  <c r="O29" i="1"/>
  <c r="P29" i="1"/>
  <c r="Q29" i="1"/>
  <c r="R29" i="1"/>
  <c r="S29" i="1"/>
  <c r="U29" i="1"/>
  <c r="V29" i="1"/>
  <c r="AA53" i="1" s="1"/>
  <c r="W29" i="1"/>
  <c r="X29" i="1"/>
  <c r="Y29" i="1"/>
  <c r="Z29" i="1"/>
  <c r="AA29" i="1"/>
  <c r="AC29" i="1"/>
  <c r="AD29" i="1"/>
  <c r="AE29" i="1"/>
  <c r="AF29" i="1"/>
  <c r="AG29" i="1"/>
  <c r="AH29" i="1"/>
  <c r="AI29" i="1"/>
  <c r="AK29" i="1"/>
  <c r="AL29" i="1"/>
  <c r="AM29" i="1"/>
  <c r="AN29" i="1"/>
  <c r="AO29" i="1"/>
  <c r="B30" i="1"/>
  <c r="B105" i="1" s="1"/>
  <c r="C30" i="1"/>
  <c r="B106" i="1" s="1"/>
  <c r="AE30" i="1"/>
  <c r="B38" i="1"/>
  <c r="C38" i="1"/>
  <c r="D38" i="1"/>
  <c r="D62" i="1" s="1"/>
  <c r="E38" i="1"/>
  <c r="AN38" i="1"/>
  <c r="AO38" i="1"/>
  <c r="B45" i="1"/>
  <c r="B88" i="1" s="1"/>
  <c r="B90" i="1" s="1"/>
  <c r="C91" i="1" s="1"/>
  <c r="C45" i="1"/>
  <c r="D45" i="1"/>
  <c r="E45" i="1"/>
  <c r="G45" i="1"/>
  <c r="G88" i="1" s="1"/>
  <c r="H45" i="1"/>
  <c r="I45" i="1"/>
  <c r="I88" i="1" s="1"/>
  <c r="I90" i="1" s="1"/>
  <c r="J45" i="1"/>
  <c r="S100" i="1" s="1"/>
  <c r="K45" i="1"/>
  <c r="L45" i="1"/>
  <c r="M45" i="1"/>
  <c r="M88" i="1" s="1"/>
  <c r="N45" i="1"/>
  <c r="U100" i="1" s="1"/>
  <c r="O45" i="1"/>
  <c r="P45" i="1"/>
  <c r="Q45" i="1"/>
  <c r="R45" i="1"/>
  <c r="S45" i="1"/>
  <c r="X100" i="1" s="1"/>
  <c r="T45" i="1"/>
  <c r="U45" i="1"/>
  <c r="Y100" i="1" s="1"/>
  <c r="V45" i="1"/>
  <c r="AE100" i="1" s="1"/>
  <c r="W45" i="1"/>
  <c r="X45" i="1"/>
  <c r="Y45" i="1"/>
  <c r="AH100" i="1" s="1"/>
  <c r="Z45" i="1"/>
  <c r="AG100" i="1" s="1"/>
  <c r="AA45" i="1"/>
  <c r="AB45" i="1"/>
  <c r="AC45" i="1"/>
  <c r="AD45" i="1"/>
  <c r="AE45" i="1"/>
  <c r="AJ100" i="1" s="1"/>
  <c r="AF45" i="1"/>
  <c r="AG45" i="1"/>
  <c r="AG61" i="1" s="1"/>
  <c r="AH45" i="1"/>
  <c r="AQ100" i="1" s="1"/>
  <c r="AI45" i="1"/>
  <c r="AJ45" i="1"/>
  <c r="AK45" i="1"/>
  <c r="AL45" i="1"/>
  <c r="AM45" i="1"/>
  <c r="AN45" i="1"/>
  <c r="AO45" i="1"/>
  <c r="C47" i="1"/>
  <c r="C49" i="1" s="1"/>
  <c r="G47" i="1"/>
  <c r="G49" i="1" s="1"/>
  <c r="B52" i="1"/>
  <c r="S53" i="1"/>
  <c r="B54" i="1"/>
  <c r="C54" i="1"/>
  <c r="D54" i="1"/>
  <c r="E54" i="1"/>
  <c r="F54" i="1"/>
  <c r="G54" i="1"/>
  <c r="H54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B61" i="1"/>
  <c r="C61" i="1"/>
  <c r="D61" i="1"/>
  <c r="E61" i="1"/>
  <c r="AE61" i="1"/>
  <c r="B63" i="1"/>
  <c r="C63" i="1"/>
  <c r="D63" i="1"/>
  <c r="E63" i="1"/>
  <c r="F63" i="1"/>
  <c r="G63" i="1"/>
  <c r="H63" i="1"/>
  <c r="B65" i="1"/>
  <c r="C65" i="1"/>
  <c r="D65" i="1"/>
  <c r="E65" i="1"/>
  <c r="F65" i="1"/>
  <c r="G65" i="1"/>
  <c r="H65" i="1"/>
  <c r="B76" i="1"/>
  <c r="C76" i="1"/>
  <c r="C59" i="1" s="1"/>
  <c r="D76" i="1"/>
  <c r="E76" i="1"/>
  <c r="K78" i="1"/>
  <c r="L78" i="1"/>
  <c r="M78" i="1"/>
  <c r="N78" i="1"/>
  <c r="O78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U81" i="1" s="1"/>
  <c r="V80" i="1"/>
  <c r="V81" i="1" s="1"/>
  <c r="W80" i="1"/>
  <c r="X80" i="1"/>
  <c r="Y80" i="1"/>
  <c r="Z80" i="1"/>
  <c r="Z81" i="1" s="1"/>
  <c r="AA80" i="1"/>
  <c r="AA81" i="1"/>
  <c r="AB80" i="1"/>
  <c r="AB81" i="1" s="1"/>
  <c r="AC80" i="1"/>
  <c r="AC81" i="1" s="1"/>
  <c r="AD80" i="1"/>
  <c r="AD81" i="1" s="1"/>
  <c r="AE80" i="1"/>
  <c r="AE81" i="1" s="1"/>
  <c r="AF80" i="1"/>
  <c r="AF81" i="1" s="1"/>
  <c r="AG80" i="1"/>
  <c r="AG81" i="1" s="1"/>
  <c r="AH80" i="1"/>
  <c r="AH81" i="1"/>
  <c r="AI80" i="1"/>
  <c r="AI81" i="1" s="1"/>
  <c r="AJ80" i="1"/>
  <c r="AJ81" i="1" s="1"/>
  <c r="AK80" i="1"/>
  <c r="AL80" i="1"/>
  <c r="AL81" i="1" s="1"/>
  <c r="AM80" i="1"/>
  <c r="AM81" i="1" s="1"/>
  <c r="AN80" i="1"/>
  <c r="AN81" i="1" s="1"/>
  <c r="AO80" i="1"/>
  <c r="AO81" i="1" s="1"/>
  <c r="AP80" i="1"/>
  <c r="AP81" i="1" s="1"/>
  <c r="AQ80" i="1"/>
  <c r="AQ81" i="1" s="1"/>
  <c r="AK81" i="1"/>
  <c r="C88" i="1"/>
  <c r="C90" i="1" s="1"/>
  <c r="D88" i="1"/>
  <c r="E88" i="1"/>
  <c r="E90" i="1" s="1"/>
  <c r="K88" i="1"/>
  <c r="K59" i="1" s="1"/>
  <c r="L88" i="1"/>
  <c r="L59" i="1"/>
  <c r="O88" i="1"/>
  <c r="O59" i="1" s="1"/>
  <c r="P90" i="1"/>
  <c r="Z93" i="1" s="1"/>
  <c r="Q90" i="1"/>
  <c r="R90" i="1"/>
  <c r="S90" i="1"/>
  <c r="T90" i="1"/>
  <c r="U90" i="1"/>
  <c r="V90" i="1"/>
  <c r="W90" i="1"/>
  <c r="X90" i="1"/>
  <c r="Y90" i="1"/>
  <c r="Z90" i="1"/>
  <c r="AA90" i="1"/>
  <c r="AB90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A93" i="1" s="1"/>
  <c r="AB92" i="1"/>
  <c r="AC92" i="1"/>
  <c r="AC93" i="1" s="1"/>
  <c r="AD92" i="1"/>
  <c r="AD93" i="1" s="1"/>
  <c r="AE92" i="1"/>
  <c r="AE93" i="1" s="1"/>
  <c r="AF92" i="1"/>
  <c r="AF93" i="1" s="1"/>
  <c r="AG92" i="1"/>
  <c r="AG93" i="1" s="1"/>
  <c r="AH92" i="1"/>
  <c r="AH93" i="1" s="1"/>
  <c r="AI92" i="1"/>
  <c r="AI93" i="1"/>
  <c r="AJ92" i="1"/>
  <c r="AJ93" i="1" s="1"/>
  <c r="AK92" i="1"/>
  <c r="AK93" i="1" s="1"/>
  <c r="AL92" i="1"/>
  <c r="AL93" i="1" s="1"/>
  <c r="AM92" i="1"/>
  <c r="AM93" i="1" s="1"/>
  <c r="AN92" i="1"/>
  <c r="AN93" i="1" s="1"/>
  <c r="AO92" i="1"/>
  <c r="AO93" i="1" s="1"/>
  <c r="AP92" i="1"/>
  <c r="AP93" i="1" s="1"/>
  <c r="AQ92" i="1"/>
  <c r="AQ93" i="1"/>
  <c r="AB93" i="1"/>
  <c r="T100" i="1"/>
  <c r="AB100" i="1"/>
  <c r="AC100" i="1"/>
  <c r="AD100" i="1"/>
  <c r="AF100" i="1"/>
  <c r="AN100" i="1"/>
  <c r="AO100" i="1"/>
  <c r="AP100" i="1"/>
  <c r="J103" i="1"/>
  <c r="K103" i="1" s="1"/>
  <c r="L103" i="1" s="1"/>
  <c r="M103" i="1" s="1"/>
  <c r="N103" i="1" s="1"/>
  <c r="O103" i="1" s="1"/>
  <c r="P103" i="1" s="1"/>
  <c r="Q103" i="1" s="1"/>
  <c r="R103" i="1" s="1"/>
  <c r="S103" i="1" s="1"/>
  <c r="T103" i="1" s="1"/>
  <c r="U103" i="1" s="1"/>
  <c r="V103" i="1" s="1"/>
  <c r="W103" i="1" s="1"/>
  <c r="X103" i="1" s="1"/>
  <c r="Y103" i="1" s="1"/>
  <c r="Z103" i="1" s="1"/>
  <c r="AA103" i="1" s="1"/>
  <c r="AB103" i="1" s="1"/>
  <c r="AC103" i="1" s="1"/>
  <c r="AD103" i="1" s="1"/>
  <c r="AE103" i="1" s="1"/>
  <c r="AF103" i="1" s="1"/>
  <c r="AG103" i="1" s="1"/>
  <c r="AH103" i="1" s="1"/>
  <c r="AI103" i="1" s="1"/>
  <c r="AJ103" i="1" s="1"/>
  <c r="AK103" i="1" s="1"/>
  <c r="AL103" i="1" s="1"/>
  <c r="AM103" i="1" s="1"/>
  <c r="AN103" i="1" s="1"/>
  <c r="AO103" i="1" s="1"/>
  <c r="AP103" i="1" s="1"/>
  <c r="AQ103" i="1" s="1"/>
  <c r="AR103" i="1" s="1"/>
  <c r="AS103" i="1" s="1"/>
  <c r="AT103" i="1" s="1"/>
  <c r="AU103" i="1" s="1"/>
  <c r="AV103" i="1" s="1"/>
  <c r="AW103" i="1" s="1"/>
  <c r="BB105" i="1"/>
  <c r="BB106" i="1"/>
  <c r="BB107" i="1"/>
  <c r="A108" i="1"/>
  <c r="A109" i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BB108" i="1"/>
  <c r="BB109" i="1"/>
  <c r="BB110" i="1"/>
  <c r="BB111" i="1"/>
  <c r="B134" i="1"/>
  <c r="B145" i="1"/>
  <c r="B146" i="1"/>
  <c r="AQ146" i="1" s="1"/>
  <c r="BB147" i="1"/>
  <c r="BB148" i="1"/>
  <c r="BB149" i="1"/>
  <c r="C150" i="1"/>
  <c r="C52" i="1" s="1"/>
  <c r="D150" i="1"/>
  <c r="D52" i="1" s="1"/>
  <c r="E150" i="1"/>
  <c r="E52" i="1" s="1"/>
  <c r="F150" i="1"/>
  <c r="F52" i="1" s="1"/>
  <c r="G150" i="1"/>
  <c r="G52" i="1" s="1"/>
  <c r="H150" i="1"/>
  <c r="H52" i="1"/>
  <c r="E184" i="1"/>
  <c r="F184" i="1"/>
  <c r="AN185" i="1"/>
  <c r="E186" i="1"/>
  <c r="F186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X61" i="1"/>
  <c r="L28" i="1"/>
  <c r="F29" i="1"/>
  <c r="F30" i="1" s="1"/>
  <c r="B109" i="1" s="1"/>
  <c r="D59" i="1"/>
  <c r="L90" i="1"/>
  <c r="D90" i="1"/>
  <c r="S121" i="1"/>
  <c r="AK12" i="1"/>
  <c r="AK47" i="1" s="1"/>
  <c r="AK49" i="1" s="1"/>
  <c r="AF12" i="1"/>
  <c r="AF47" i="1" s="1"/>
  <c r="AF49" i="1" s="1"/>
  <c r="U12" i="1"/>
  <c r="U47" i="1" s="1"/>
  <c r="U49" i="1" s="1"/>
  <c r="L12" i="1"/>
  <c r="L47" i="1" s="1"/>
  <c r="L49" i="1" s="1"/>
  <c r="AC12" i="1"/>
  <c r="AC47" i="1" s="1"/>
  <c r="AC49" i="1" s="1"/>
  <c r="T12" i="1"/>
  <c r="T47" i="1" s="1"/>
  <c r="T49" i="1" s="1"/>
  <c r="I13" i="1"/>
  <c r="AG12" i="1"/>
  <c r="AG47" i="1" s="1"/>
  <c r="AG49" i="1" s="1"/>
  <c r="Y12" i="1"/>
  <c r="Y47" i="1" s="1"/>
  <c r="Y49" i="1" s="1"/>
  <c r="Q12" i="1"/>
  <c r="Q47" i="1" s="1"/>
  <c r="Q49" i="1" s="1"/>
  <c r="AM13" i="1"/>
  <c r="AM17" i="1" s="1"/>
  <c r="AM187" i="1" s="1"/>
  <c r="AI13" i="1"/>
  <c r="AI17" i="1" s="1"/>
  <c r="AI51" i="1" s="1"/>
  <c r="AE13" i="1"/>
  <c r="AA13" i="1"/>
  <c r="W13" i="1"/>
  <c r="S13" i="1"/>
  <c r="O13" i="1"/>
  <c r="K13" i="1"/>
  <c r="AO51" i="1"/>
  <c r="AO187" i="1"/>
  <c r="AO60" i="1"/>
  <c r="AE134" i="1"/>
  <c r="AF134" i="1" s="1"/>
  <c r="AP145" i="1"/>
  <c r="AQ145" i="1" s="1"/>
  <c r="X81" i="1"/>
  <c r="Y81" i="1"/>
  <c r="O90" i="1"/>
  <c r="K90" i="1"/>
  <c r="AN60" i="1"/>
  <c r="AK30" i="1"/>
  <c r="B140" i="1" s="1"/>
  <c r="AK140" i="1" s="1"/>
  <c r="AC30" i="1"/>
  <c r="B132" i="1" s="1"/>
  <c r="F38" i="1"/>
  <c r="AJ29" i="1"/>
  <c r="T28" i="1"/>
  <c r="T30" i="1" s="1"/>
  <c r="B123" i="1" s="1"/>
  <c r="T29" i="1"/>
  <c r="G28" i="1"/>
  <c r="G29" i="1"/>
  <c r="G30" i="1" s="1"/>
  <c r="B110" i="1" s="1"/>
  <c r="AL12" i="1"/>
  <c r="AL47" i="1" s="1"/>
  <c r="AL49" i="1" s="1"/>
  <c r="AH12" i="1"/>
  <c r="AH47" i="1" s="1"/>
  <c r="AH49" i="1" s="1"/>
  <c r="AD12" i="1"/>
  <c r="AD47" i="1" s="1"/>
  <c r="AD49" i="1" s="1"/>
  <c r="Z12" i="1"/>
  <c r="Z47" i="1" s="1"/>
  <c r="Z49" i="1" s="1"/>
  <c r="V12" i="1"/>
  <c r="V47" i="1" s="1"/>
  <c r="V49" i="1" s="1"/>
  <c r="R12" i="1"/>
  <c r="R47" i="1" s="1"/>
  <c r="R49" i="1" s="1"/>
  <c r="N12" i="1"/>
  <c r="N47" i="1" s="1"/>
  <c r="N49" i="1" s="1"/>
  <c r="J12" i="1"/>
  <c r="J47" i="1" s="1"/>
  <c r="J49" i="1" s="1"/>
  <c r="J13" i="1"/>
  <c r="F88" i="1"/>
  <c r="F90" i="1" s="1"/>
  <c r="R38" i="1"/>
  <c r="P38" i="1"/>
  <c r="AB38" i="1"/>
  <c r="L38" i="1"/>
  <c r="AH38" i="1"/>
  <c r="M38" i="1"/>
  <c r="AG38" i="1"/>
  <c r="I38" i="1"/>
  <c r="Y38" i="1"/>
  <c r="N38" i="1"/>
  <c r="AF38" i="1"/>
  <c r="H38" i="1"/>
  <c r="K38" i="1"/>
  <c r="W38" i="1"/>
  <c r="H61" i="1" l="1"/>
  <c r="K62" i="1"/>
  <c r="B17" i="1"/>
  <c r="B51" i="1" s="1"/>
  <c r="K17" i="1"/>
  <c r="K60" i="1" s="1"/>
  <c r="S17" i="1"/>
  <c r="S51" i="1" s="1"/>
  <c r="J88" i="1"/>
  <c r="J90" i="1" s="1"/>
  <c r="I100" i="1"/>
  <c r="F61" i="1"/>
  <c r="AE17" i="1"/>
  <c r="AE187" i="1" s="1"/>
  <c r="I55" i="1"/>
  <c r="AB62" i="1"/>
  <c r="W30" i="1"/>
  <c r="B126" i="1" s="1"/>
  <c r="W126" i="1" s="1"/>
  <c r="X126" i="1" s="1"/>
  <c r="W61" i="1"/>
  <c r="I76" i="1"/>
  <c r="I61" i="1"/>
  <c r="B59" i="1"/>
  <c r="U30" i="1"/>
  <c r="B124" i="1" s="1"/>
  <c r="U124" i="1" s="1"/>
  <c r="U61" i="1"/>
  <c r="M59" i="1"/>
  <c r="M90" i="1"/>
  <c r="O61" i="1"/>
  <c r="O30" i="1"/>
  <c r="B118" i="1" s="1"/>
  <c r="O118" i="1" s="1"/>
  <c r="P118" i="1" s="1"/>
  <c r="Q118" i="1" s="1"/>
  <c r="J100" i="1"/>
  <c r="AR146" i="1"/>
  <c r="AS146" i="1" s="1"/>
  <c r="L30" i="1"/>
  <c r="B115" i="1" s="1"/>
  <c r="L115" i="1" s="1"/>
  <c r="M115" i="1" s="1"/>
  <c r="AL100" i="1"/>
  <c r="Z100" i="1"/>
  <c r="H88" i="1"/>
  <c r="H30" i="1"/>
  <c r="B111" i="1" s="1"/>
  <c r="I29" i="1"/>
  <c r="P53" i="1" s="1"/>
  <c r="J30" i="1"/>
  <c r="B113" i="1" s="1"/>
  <c r="AL17" i="1"/>
  <c r="AL51" i="1" s="1"/>
  <c r="P100" i="1"/>
  <c r="M100" i="1"/>
  <c r="E59" i="1"/>
  <c r="AK17" i="1"/>
  <c r="K100" i="1"/>
  <c r="R100" i="1"/>
  <c r="L100" i="1"/>
  <c r="AI100" i="1"/>
  <c r="W100" i="1"/>
  <c r="D91" i="1"/>
  <c r="E91" i="1" s="1"/>
  <c r="F91" i="1" s="1"/>
  <c r="G91" i="1" s="1"/>
  <c r="AJ17" i="1"/>
  <c r="F55" i="1"/>
  <c r="AK100" i="1"/>
  <c r="N100" i="1"/>
  <c r="V100" i="1"/>
  <c r="N88" i="1"/>
  <c r="AA100" i="1"/>
  <c r="O100" i="1"/>
  <c r="Q61" i="1"/>
  <c r="AH17" i="1"/>
  <c r="AH187" i="1" s="1"/>
  <c r="AM100" i="1"/>
  <c r="H59" i="1"/>
  <c r="AM53" i="1"/>
  <c r="Q100" i="1"/>
  <c r="Y93" i="1"/>
  <c r="W81" i="1"/>
  <c r="Y30" i="1"/>
  <c r="B128" i="1" s="1"/>
  <c r="Z128" i="1" s="1"/>
  <c r="E62" i="1"/>
  <c r="AM61" i="1"/>
  <c r="W62" i="1"/>
  <c r="M55" i="1"/>
  <c r="V17" i="1"/>
  <c r="V187" i="1" s="1"/>
  <c r="N17" i="1"/>
  <c r="N60" i="1" s="1"/>
  <c r="X17" i="1"/>
  <c r="X51" i="1" s="1"/>
  <c r="AG55" i="1"/>
  <c r="C17" i="1"/>
  <c r="C51" i="1" s="1"/>
  <c r="O17" i="1"/>
  <c r="O51" i="1" s="1"/>
  <c r="R17" i="1"/>
  <c r="R60" i="1" s="1"/>
  <c r="M17" i="1"/>
  <c r="M187" i="1" s="1"/>
  <c r="D17" i="1"/>
  <c r="D60" i="1" s="1"/>
  <c r="J17" i="1"/>
  <c r="J60" i="1" s="1"/>
  <c r="H17" i="1"/>
  <c r="H60" i="1" s="1"/>
  <c r="AM51" i="1"/>
  <c r="I17" i="1"/>
  <c r="I187" i="1" s="1"/>
  <c r="P17" i="1"/>
  <c r="P51" i="1" s="1"/>
  <c r="Q17" i="1"/>
  <c r="Q51" i="1" s="1"/>
  <c r="AM60" i="1"/>
  <c r="W17" i="1"/>
  <c r="W60" i="1" s="1"/>
  <c r="AI187" i="1"/>
  <c r="AI60" i="1"/>
  <c r="Z17" i="1"/>
  <c r="Z187" i="1" s="1"/>
  <c r="G17" i="1"/>
  <c r="G187" i="1" s="1"/>
  <c r="F17" i="1"/>
  <c r="F60" i="1" s="1"/>
  <c r="E17" i="1"/>
  <c r="U17" i="1"/>
  <c r="U51" i="1" s="1"/>
  <c r="T17" i="1"/>
  <c r="L17" i="1"/>
  <c r="Y128" i="1"/>
  <c r="AJ61" i="1"/>
  <c r="AJ30" i="1"/>
  <c r="B139" i="1" s="1"/>
  <c r="AI61" i="1"/>
  <c r="AI30" i="1"/>
  <c r="B138" i="1" s="1"/>
  <c r="AL30" i="1"/>
  <c r="B141" i="1" s="1"/>
  <c r="AL61" i="1"/>
  <c r="AF30" i="1"/>
  <c r="B135" i="1" s="1"/>
  <c r="Y53" i="1"/>
  <c r="AG30" i="1"/>
  <c r="B136" i="1" s="1"/>
  <c r="AG136" i="1" s="1"/>
  <c r="AH136" i="1" s="1"/>
  <c r="AM30" i="1"/>
  <c r="B142" i="1" s="1"/>
  <c r="AM142" i="1" s="1"/>
  <c r="X30" i="1"/>
  <c r="B127" i="1" s="1"/>
  <c r="X127" i="1" s="1"/>
  <c r="Y126" i="1"/>
  <c r="Z126" i="1" s="1"/>
  <c r="AA126" i="1" s="1"/>
  <c r="AL53" i="1"/>
  <c r="T53" i="1"/>
  <c r="V53" i="1"/>
  <c r="T61" i="1"/>
  <c r="U53" i="1"/>
  <c r="X53" i="1"/>
  <c r="P61" i="1"/>
  <c r="P30" i="1"/>
  <c r="B119" i="1" s="1"/>
  <c r="P119" i="1" s="1"/>
  <c r="J76" i="1"/>
  <c r="J61" i="1"/>
  <c r="C55" i="1"/>
  <c r="N115" i="1"/>
  <c r="O115" i="1" s="1"/>
  <c r="AT146" i="1"/>
  <c r="AU146" i="1" s="1"/>
  <c r="AG134" i="1"/>
  <c r="AH134" i="1" s="1"/>
  <c r="AR145" i="1"/>
  <c r="AB55" i="1"/>
  <c r="M62" i="1"/>
  <c r="I62" i="1"/>
  <c r="AG62" i="1"/>
  <c r="B55" i="1"/>
  <c r="AH62" i="1"/>
  <c r="C62" i="1"/>
  <c r="B62" i="1"/>
  <c r="W55" i="1"/>
  <c r="K55" i="1"/>
  <c r="AH55" i="1"/>
  <c r="E55" i="1"/>
  <c r="L55" i="1"/>
  <c r="AO62" i="1"/>
  <c r="AO55" i="1"/>
  <c r="AN55" i="1"/>
  <c r="AN62" i="1"/>
  <c r="L62" i="1"/>
  <c r="AA17" i="1"/>
  <c r="AA187" i="1" s="1"/>
  <c r="AG17" i="1"/>
  <c r="AB17" i="1"/>
  <c r="AF17" i="1"/>
  <c r="AD17" i="1"/>
  <c r="Y17" i="1"/>
  <c r="AC17" i="1"/>
  <c r="R55" i="1"/>
  <c r="R62" i="1"/>
  <c r="AF55" i="1"/>
  <c r="AF62" i="1"/>
  <c r="R118" i="1"/>
  <c r="S118" i="1" s="1"/>
  <c r="Y55" i="1"/>
  <c r="Y62" i="1"/>
  <c r="P62" i="1"/>
  <c r="P55" i="1"/>
  <c r="AB61" i="1"/>
  <c r="T123" i="1"/>
  <c r="U123" i="1" s="1"/>
  <c r="AI38" i="1"/>
  <c r="G76" i="1"/>
  <c r="T38" i="1"/>
  <c r="Z38" i="1"/>
  <c r="AE38" i="1"/>
  <c r="AC38" i="1"/>
  <c r="U38" i="1"/>
  <c r="X38" i="1"/>
  <c r="AD38" i="1"/>
  <c r="V38" i="1"/>
  <c r="AM38" i="1"/>
  <c r="J38" i="1"/>
  <c r="O38" i="1"/>
  <c r="Q38" i="1"/>
  <c r="G61" i="1"/>
  <c r="AA38" i="1"/>
  <c r="S38" i="1"/>
  <c r="AK38" i="1"/>
  <c r="AL38" i="1"/>
  <c r="AJ38" i="1"/>
  <c r="G38" i="1"/>
  <c r="AC132" i="1"/>
  <c r="AD132" i="1" s="1"/>
  <c r="T121" i="1"/>
  <c r="U121" i="1" s="1"/>
  <c r="H55" i="1"/>
  <c r="H62" i="1"/>
  <c r="F62" i="1"/>
  <c r="AL140" i="1"/>
  <c r="V124" i="1"/>
  <c r="N55" i="1"/>
  <c r="N62" i="1"/>
  <c r="Q120" i="1"/>
  <c r="R120" i="1" s="1"/>
  <c r="AO30" i="1"/>
  <c r="B144" i="1" s="1"/>
  <c r="AO61" i="1"/>
  <c r="AH61" i="1"/>
  <c r="AH30" i="1"/>
  <c r="B137" i="1" s="1"/>
  <c r="AN142" i="1"/>
  <c r="AO142" i="1" s="1"/>
  <c r="AN30" i="1"/>
  <c r="B143" i="1" s="1"/>
  <c r="AN61" i="1"/>
  <c r="AF135" i="1"/>
  <c r="J113" i="1"/>
  <c r="K113" i="1" s="1"/>
  <c r="L113" i="1" s="1"/>
  <c r="V30" i="1"/>
  <c r="B125" i="1" s="1"/>
  <c r="V61" i="1"/>
  <c r="AD61" i="1"/>
  <c r="AD30" i="1"/>
  <c r="B133" i="1" s="1"/>
  <c r="N30" i="1"/>
  <c r="B117" i="1" s="1"/>
  <c r="N61" i="1"/>
  <c r="G186" i="1"/>
  <c r="G184" i="1"/>
  <c r="Z53" i="1"/>
  <c r="L61" i="1"/>
  <c r="AN51" i="1"/>
  <c r="S61" i="1"/>
  <c r="S30" i="1"/>
  <c r="B122" i="1" s="1"/>
  <c r="M61" i="1"/>
  <c r="M30" i="1"/>
  <c r="B116" i="1" s="1"/>
  <c r="W53" i="1"/>
  <c r="AA30" i="1"/>
  <c r="B130" i="1" s="1"/>
  <c r="AA61" i="1"/>
  <c r="K30" i="1"/>
  <c r="B114" i="1" s="1"/>
  <c r="K61" i="1"/>
  <c r="AF61" i="1"/>
  <c r="Z30" i="1"/>
  <c r="B129" i="1" s="1"/>
  <c r="Z61" i="1"/>
  <c r="F59" i="1"/>
  <c r="D55" i="1"/>
  <c r="R61" i="1"/>
  <c r="AB29" i="1"/>
  <c r="AB53" i="1" s="1"/>
  <c r="S60" i="1" l="1"/>
  <c r="C56" i="1"/>
  <c r="S187" i="1"/>
  <c r="B60" i="1"/>
  <c r="K51" i="1"/>
  <c r="K187" i="1"/>
  <c r="AE60" i="1"/>
  <c r="C60" i="1"/>
  <c r="AE51" i="1"/>
  <c r="N53" i="1"/>
  <c r="I53" i="1"/>
  <c r="R51" i="1"/>
  <c r="N187" i="1"/>
  <c r="AH60" i="1"/>
  <c r="AL187" i="1"/>
  <c r="AH51" i="1"/>
  <c r="AL60" i="1"/>
  <c r="X187" i="1"/>
  <c r="N59" i="1"/>
  <c r="N90" i="1"/>
  <c r="X93" i="1" s="1"/>
  <c r="M53" i="1"/>
  <c r="L53" i="1"/>
  <c r="V51" i="1"/>
  <c r="V60" i="1"/>
  <c r="AK51" i="1"/>
  <c r="AK187" i="1"/>
  <c r="AK60" i="1"/>
  <c r="AJ187" i="1"/>
  <c r="AJ51" i="1"/>
  <c r="V93" i="1"/>
  <c r="R53" i="1"/>
  <c r="K53" i="1"/>
  <c r="O53" i="1"/>
  <c r="S93" i="1"/>
  <c r="I30" i="1"/>
  <c r="B112" i="1" s="1"/>
  <c r="I78" i="1"/>
  <c r="I59" i="1"/>
  <c r="AJ60" i="1"/>
  <c r="Q53" i="1"/>
  <c r="J53" i="1"/>
  <c r="N51" i="1"/>
  <c r="T93" i="1"/>
  <c r="J51" i="1"/>
  <c r="R187" i="1"/>
  <c r="X60" i="1"/>
  <c r="Z60" i="1"/>
  <c r="I60" i="1"/>
  <c r="O187" i="1"/>
  <c r="Z51" i="1"/>
  <c r="M60" i="1"/>
  <c r="J187" i="1"/>
  <c r="M51" i="1"/>
  <c r="F51" i="1"/>
  <c r="F56" i="1" s="1"/>
  <c r="F57" i="1" s="1"/>
  <c r="F64" i="1" s="1"/>
  <c r="F188" i="1" s="1"/>
  <c r="H187" i="1"/>
  <c r="D51" i="1"/>
  <c r="D56" i="1" s="1"/>
  <c r="O60" i="1"/>
  <c r="B56" i="1"/>
  <c r="B57" i="1" s="1"/>
  <c r="B64" i="1" s="1"/>
  <c r="H51" i="1"/>
  <c r="H56" i="1" s="1"/>
  <c r="H57" i="1" s="1"/>
  <c r="H64" i="1" s="1"/>
  <c r="H188" i="1" s="1"/>
  <c r="U60" i="1"/>
  <c r="I51" i="1"/>
  <c r="Q60" i="1"/>
  <c r="G60" i="1"/>
  <c r="Q187" i="1"/>
  <c r="P187" i="1"/>
  <c r="P60" i="1"/>
  <c r="G51" i="1"/>
  <c r="W187" i="1"/>
  <c r="F187" i="1"/>
  <c r="W51" i="1"/>
  <c r="E60" i="1"/>
  <c r="E187" i="1"/>
  <c r="E51" i="1"/>
  <c r="E56" i="1" s="1"/>
  <c r="AA51" i="1"/>
  <c r="L51" i="1"/>
  <c r="L187" i="1"/>
  <c r="L60" i="1"/>
  <c r="U187" i="1"/>
  <c r="T187" i="1"/>
  <c r="T60" i="1"/>
  <c r="T51" i="1"/>
  <c r="AL141" i="1"/>
  <c r="AM141" i="1" s="1"/>
  <c r="AI138" i="1"/>
  <c r="AJ138" i="1" s="1"/>
  <c r="AK138" i="1"/>
  <c r="AJ139" i="1"/>
  <c r="AK139" i="1"/>
  <c r="AC53" i="1"/>
  <c r="AL138" i="1"/>
  <c r="AM138" i="1" s="1"/>
  <c r="AA128" i="1"/>
  <c r="AB128" i="1" s="1"/>
  <c r="AC128" i="1" s="1"/>
  <c r="AD128" i="1" s="1"/>
  <c r="J78" i="1"/>
  <c r="J59" i="1"/>
  <c r="P115" i="1"/>
  <c r="AI134" i="1"/>
  <c r="AJ134" i="1" s="1"/>
  <c r="AK134" i="1" s="1"/>
  <c r="AL134" i="1" s="1"/>
  <c r="AV146" i="1"/>
  <c r="AW146" i="1" s="1"/>
  <c r="AX146" i="1" s="1"/>
  <c r="AS145" i="1"/>
  <c r="AT145" i="1" s="1"/>
  <c r="AA60" i="1"/>
  <c r="AB187" i="1"/>
  <c r="AB51" i="1"/>
  <c r="AB60" i="1"/>
  <c r="AG187" i="1"/>
  <c r="AG60" i="1"/>
  <c r="AG51" i="1"/>
  <c r="Y51" i="1"/>
  <c r="Y187" i="1"/>
  <c r="Y60" i="1"/>
  <c r="AD187" i="1"/>
  <c r="AD60" i="1"/>
  <c r="AD51" i="1"/>
  <c r="AC187" i="1"/>
  <c r="AC51" i="1"/>
  <c r="AC60" i="1"/>
  <c r="AF51" i="1"/>
  <c r="AF187" i="1"/>
  <c r="AF60" i="1"/>
  <c r="S120" i="1"/>
  <c r="AC62" i="1"/>
  <c r="AC55" i="1"/>
  <c r="G55" i="1"/>
  <c r="G62" i="1"/>
  <c r="AN143" i="1"/>
  <c r="AJ62" i="1"/>
  <c r="AJ55" i="1"/>
  <c r="J55" i="1"/>
  <c r="J62" i="1"/>
  <c r="Z62" i="1"/>
  <c r="Z55" i="1"/>
  <c r="Q55" i="1"/>
  <c r="Q62" i="1"/>
  <c r="AM140" i="1"/>
  <c r="N117" i="1"/>
  <c r="O117" i="1" s="1"/>
  <c r="V121" i="1"/>
  <c r="W121" i="1" s="1"/>
  <c r="AL62" i="1"/>
  <c r="AL55" i="1"/>
  <c r="AM55" i="1"/>
  <c r="AM62" i="1"/>
  <c r="T62" i="1"/>
  <c r="T55" i="1"/>
  <c r="AH137" i="1"/>
  <c r="AE55" i="1"/>
  <c r="AE62" i="1"/>
  <c r="S122" i="1"/>
  <c r="T122" i="1"/>
  <c r="AD133" i="1"/>
  <c r="AO144" i="1"/>
  <c r="AP144" i="1" s="1"/>
  <c r="X124" i="1"/>
  <c r="AE128" i="1"/>
  <c r="AF128" i="1" s="1"/>
  <c r="AE132" i="1"/>
  <c r="AK55" i="1"/>
  <c r="AK62" i="1"/>
  <c r="V55" i="1"/>
  <c r="V62" i="1"/>
  <c r="G59" i="1"/>
  <c r="T118" i="1"/>
  <c r="H184" i="1"/>
  <c r="H186" i="1"/>
  <c r="V125" i="1"/>
  <c r="M113" i="1"/>
  <c r="S55" i="1"/>
  <c r="S62" i="1"/>
  <c r="AD55" i="1"/>
  <c r="AD62" i="1"/>
  <c r="AI55" i="1"/>
  <c r="AI62" i="1"/>
  <c r="W124" i="1"/>
  <c r="AA130" i="1"/>
  <c r="AB130" i="1"/>
  <c r="Q119" i="1"/>
  <c r="K114" i="1"/>
  <c r="AP142" i="1"/>
  <c r="AQ142" i="1" s="1"/>
  <c r="AB126" i="1"/>
  <c r="AC126" i="1"/>
  <c r="AD126" i="1" s="1"/>
  <c r="T120" i="1"/>
  <c r="AA62" i="1"/>
  <c r="AA55" i="1"/>
  <c r="X62" i="1"/>
  <c r="X55" i="1"/>
  <c r="V123" i="1"/>
  <c r="W123" i="1" s="1"/>
  <c r="O62" i="1"/>
  <c r="O55" i="1"/>
  <c r="M116" i="1"/>
  <c r="N116" i="1" s="1"/>
  <c r="Z129" i="1"/>
  <c r="AE53" i="1"/>
  <c r="AI53" i="1"/>
  <c r="AD53" i="1"/>
  <c r="AJ53" i="1"/>
  <c r="AK53" i="1"/>
  <c r="AH53" i="1"/>
  <c r="AF53" i="1"/>
  <c r="AG53" i="1"/>
  <c r="AI136" i="1"/>
  <c r="AJ136" i="1" s="1"/>
  <c r="AG135" i="1"/>
  <c r="Y127" i="1"/>
  <c r="Z127" i="1" s="1"/>
  <c r="U55" i="1"/>
  <c r="U62" i="1"/>
  <c r="AB30" i="1"/>
  <c r="B131" i="1" s="1"/>
  <c r="B67" i="1" l="1"/>
  <c r="B68" i="1" s="1"/>
  <c r="G56" i="1"/>
  <c r="G57" i="1" s="1"/>
  <c r="G64" i="1" s="1"/>
  <c r="G188" i="1" s="1"/>
  <c r="D57" i="1"/>
  <c r="D64" i="1" s="1"/>
  <c r="D67" i="1" s="1"/>
  <c r="C57" i="1"/>
  <c r="C64" i="1" s="1"/>
  <c r="C67" i="1" s="1"/>
  <c r="C68" i="1" s="1"/>
  <c r="W93" i="1"/>
  <c r="AN138" i="1"/>
  <c r="I112" i="1"/>
  <c r="J112" i="1" s="1"/>
  <c r="J150" i="1" s="1"/>
  <c r="J52" i="1" s="1"/>
  <c r="U93" i="1"/>
  <c r="F70" i="1"/>
  <c r="F67" i="1"/>
  <c r="F190" i="1" s="1"/>
  <c r="E57" i="1"/>
  <c r="E64" i="1" s="1"/>
  <c r="AL139" i="1"/>
  <c r="AM139" i="1" s="1"/>
  <c r="AN139" i="1" s="1"/>
  <c r="AO139" i="1" s="1"/>
  <c r="AN141" i="1"/>
  <c r="Q115" i="1"/>
  <c r="R115" i="1" s="1"/>
  <c r="S115" i="1" s="1"/>
  <c r="T115" i="1" s="1"/>
  <c r="T81" i="1"/>
  <c r="S81" i="1"/>
  <c r="AU145" i="1"/>
  <c r="AV145" i="1" s="1"/>
  <c r="AW145" i="1"/>
  <c r="AX145" i="1" s="1"/>
  <c r="AM134" i="1"/>
  <c r="AN134" i="1" s="1"/>
  <c r="BB134" i="1" s="1"/>
  <c r="R119" i="1"/>
  <c r="X123" i="1"/>
  <c r="Y123" i="1" s="1"/>
  <c r="Z123" i="1" s="1"/>
  <c r="AE126" i="1"/>
  <c r="AF126" i="1"/>
  <c r="H70" i="1"/>
  <c r="H67" i="1"/>
  <c r="H190" i="1" s="1"/>
  <c r="AK136" i="1"/>
  <c r="AL136" i="1" s="1"/>
  <c r="AM136" i="1" s="1"/>
  <c r="AY146" i="1"/>
  <c r="AZ146" i="1" s="1"/>
  <c r="AI137" i="1"/>
  <c r="AJ137" i="1" s="1"/>
  <c r="AN140" i="1"/>
  <c r="U118" i="1"/>
  <c r="V118" i="1" s="1"/>
  <c r="O116" i="1"/>
  <c r="P116" i="1" s="1"/>
  <c r="L114" i="1"/>
  <c r="M114" i="1" s="1"/>
  <c r="N113" i="1"/>
  <c r="AO138" i="1"/>
  <c r="Y124" i="1"/>
  <c r="U122" i="1"/>
  <c r="V122" i="1" s="1"/>
  <c r="W122" i="1" s="1"/>
  <c r="AR142" i="1"/>
  <c r="AS142" i="1" s="1"/>
  <c r="AB131" i="1"/>
  <c r="AC131" i="1" s="1"/>
  <c r="AA127" i="1"/>
  <c r="AB127" i="1" s="1"/>
  <c r="D89" i="1"/>
  <c r="G89" i="1"/>
  <c r="G90" i="1" s="1"/>
  <c r="H91" i="1" s="1"/>
  <c r="B89" i="1"/>
  <c r="B77" i="1"/>
  <c r="B78" i="1" s="1"/>
  <c r="C79" i="1" s="1"/>
  <c r="C89" i="1"/>
  <c r="H89" i="1"/>
  <c r="H90" i="1" s="1"/>
  <c r="E77" i="1"/>
  <c r="E78" i="1" s="1"/>
  <c r="I186" i="1"/>
  <c r="E89" i="1"/>
  <c r="D77" i="1"/>
  <c r="D78" i="1" s="1"/>
  <c r="I184" i="1"/>
  <c r="F89" i="1"/>
  <c r="G77" i="1"/>
  <c r="G78" i="1" s="1"/>
  <c r="F77" i="1"/>
  <c r="F78" i="1" s="1"/>
  <c r="C77" i="1"/>
  <c r="C78" i="1" s="1"/>
  <c r="H77" i="1"/>
  <c r="H78" i="1" s="1"/>
  <c r="AF132" i="1"/>
  <c r="X121" i="1"/>
  <c r="Q117" i="1"/>
  <c r="U120" i="1"/>
  <c r="AC130" i="1"/>
  <c r="AD130" i="1" s="1"/>
  <c r="W125" i="1"/>
  <c r="AQ144" i="1"/>
  <c r="AP138" i="1"/>
  <c r="AQ138" i="1" s="1"/>
  <c r="P117" i="1"/>
  <c r="AO143" i="1"/>
  <c r="AA129" i="1"/>
  <c r="AH135" i="1"/>
  <c r="AG128" i="1"/>
  <c r="AH128" i="1" s="1"/>
  <c r="AE133" i="1"/>
  <c r="I91" i="1" l="1"/>
  <c r="R93" i="1" s="1"/>
  <c r="D68" i="1"/>
  <c r="BB126" i="1"/>
  <c r="I150" i="1"/>
  <c r="I52" i="1" s="1"/>
  <c r="K112" i="1"/>
  <c r="K150" i="1" s="1"/>
  <c r="K52" i="1" s="1"/>
  <c r="E70" i="1"/>
  <c r="E67" i="1"/>
  <c r="E188" i="1"/>
  <c r="AO141" i="1"/>
  <c r="AT142" i="1"/>
  <c r="AU142" i="1" s="1"/>
  <c r="AE130" i="1"/>
  <c r="S119" i="1"/>
  <c r="T119" i="1" s="1"/>
  <c r="AY145" i="1"/>
  <c r="AY150" i="1" s="1"/>
  <c r="AP143" i="1"/>
  <c r="G70" i="1"/>
  <c r="G67" i="1"/>
  <c r="G190" i="1" s="1"/>
  <c r="Y122" i="1"/>
  <c r="AP139" i="1"/>
  <c r="AZ150" i="1"/>
  <c r="BB146" i="1"/>
  <c r="N114" i="1"/>
  <c r="W118" i="1"/>
  <c r="X118" i="1" s="1"/>
  <c r="AO140" i="1"/>
  <c r="AN136" i="1"/>
  <c r="AO136" i="1" s="1"/>
  <c r="AF133" i="1"/>
  <c r="AG133" i="1" s="1"/>
  <c r="Q116" i="1"/>
  <c r="I93" i="1"/>
  <c r="I94" i="1"/>
  <c r="L93" i="1"/>
  <c r="R116" i="1"/>
  <c r="X122" i="1"/>
  <c r="AF130" i="1"/>
  <c r="AG130" i="1" s="1"/>
  <c r="J186" i="1"/>
  <c r="J184" i="1"/>
  <c r="AK137" i="1"/>
  <c r="AC127" i="1"/>
  <c r="AD127" i="1" s="1"/>
  <c r="AR144" i="1"/>
  <c r="AS144" i="1" s="1"/>
  <c r="O114" i="1"/>
  <c r="V120" i="1"/>
  <c r="D79" i="1"/>
  <c r="E79" i="1" s="1"/>
  <c r="F79" i="1" s="1"/>
  <c r="G79" i="1" s="1"/>
  <c r="H79" i="1" s="1"/>
  <c r="I79" i="1" s="1"/>
  <c r="AD131" i="1"/>
  <c r="R117" i="1"/>
  <c r="S117" i="1" s="1"/>
  <c r="T117" i="1" s="1"/>
  <c r="AA124" i="1"/>
  <c r="AI135" i="1"/>
  <c r="AJ135" i="1" s="1"/>
  <c r="AA123" i="1"/>
  <c r="Y121" i="1"/>
  <c r="Z121" i="1" s="1"/>
  <c r="BB128" i="1"/>
  <c r="AR138" i="1"/>
  <c r="Z124" i="1"/>
  <c r="AB129" i="1"/>
  <c r="AG132" i="1"/>
  <c r="AH132" i="1" s="1"/>
  <c r="U115" i="1"/>
  <c r="X125" i="1"/>
  <c r="O113" i="1"/>
  <c r="M93" i="1" l="1"/>
  <c r="K93" i="1"/>
  <c r="O93" i="1"/>
  <c r="N93" i="1"/>
  <c r="P93" i="1"/>
  <c r="Q93" i="1"/>
  <c r="J93" i="1"/>
  <c r="P114" i="1"/>
  <c r="Z122" i="1"/>
  <c r="AA122" i="1" s="1"/>
  <c r="AB122" i="1" s="1"/>
  <c r="L112" i="1"/>
  <c r="L150" i="1" s="1"/>
  <c r="L52" i="1" s="1"/>
  <c r="E190" i="1"/>
  <c r="E68" i="1"/>
  <c r="AP141" i="1"/>
  <c r="AE131" i="1"/>
  <c r="AF131" i="1" s="1"/>
  <c r="AC129" i="1"/>
  <c r="AD129" i="1" s="1"/>
  <c r="AE129" i="1" s="1"/>
  <c r="AF129" i="1" s="1"/>
  <c r="AG129" i="1" s="1"/>
  <c r="AH129" i="1" s="1"/>
  <c r="AV142" i="1"/>
  <c r="BB142" i="1"/>
  <c r="AQ143" i="1"/>
  <c r="AE127" i="1"/>
  <c r="U119" i="1"/>
  <c r="V119" i="1" s="1"/>
  <c r="W119" i="1" s="1"/>
  <c r="X119" i="1" s="1"/>
  <c r="S116" i="1"/>
  <c r="BB145" i="1"/>
  <c r="U117" i="1"/>
  <c r="V117" i="1"/>
  <c r="W117" i="1" s="1"/>
  <c r="AT144" i="1"/>
  <c r="AQ139" i="1"/>
  <c r="AR139" i="1" s="1"/>
  <c r="W120" i="1"/>
  <c r="X120" i="1"/>
  <c r="Y120" i="1" s="1"/>
  <c r="AB123" i="1"/>
  <c r="P113" i="1"/>
  <c r="Q113" i="1" s="1"/>
  <c r="R113" i="1" s="1"/>
  <c r="AP136" i="1"/>
  <c r="BB136" i="1" s="1"/>
  <c r="BB115" i="1"/>
  <c r="AB124" i="1"/>
  <c r="AC124" i="1" s="1"/>
  <c r="AD124" i="1" s="1"/>
  <c r="Q114" i="1"/>
  <c r="BB118" i="1"/>
  <c r="AP140" i="1"/>
  <c r="AQ140" i="1" s="1"/>
  <c r="AK135" i="1"/>
  <c r="T116" i="1"/>
  <c r="U116" i="1" s="1"/>
  <c r="V116" i="1" s="1"/>
  <c r="R114" i="1"/>
  <c r="S114" i="1" s="1"/>
  <c r="T114" i="1" s="1"/>
  <c r="AH130" i="1"/>
  <c r="AI130" i="1" s="1"/>
  <c r="AH133" i="1"/>
  <c r="AA121" i="1"/>
  <c r="BB121" i="1" s="1"/>
  <c r="BB138" i="1"/>
  <c r="AL137" i="1"/>
  <c r="I95" i="1"/>
  <c r="I96" i="1" s="1"/>
  <c r="J91" i="1" s="1"/>
  <c r="AI132" i="1"/>
  <c r="AJ132" i="1"/>
  <c r="AK132" i="1" s="1"/>
  <c r="Y125" i="1"/>
  <c r="O81" i="1"/>
  <c r="I82" i="1"/>
  <c r="K81" i="1"/>
  <c r="P81" i="1"/>
  <c r="I81" i="1"/>
  <c r="L81" i="1"/>
  <c r="Q81" i="1"/>
  <c r="M81" i="1"/>
  <c r="N81" i="1"/>
  <c r="J81" i="1"/>
  <c r="R81" i="1"/>
  <c r="K184" i="1"/>
  <c r="K186" i="1"/>
  <c r="BB117" i="1" l="1"/>
  <c r="BB122" i="1"/>
  <c r="X150" i="1"/>
  <c r="X52" i="1" s="1"/>
  <c r="M112" i="1"/>
  <c r="M150" i="1" s="1"/>
  <c r="M52" i="1" s="1"/>
  <c r="E185" i="1"/>
  <c r="F68" i="1"/>
  <c r="AG131" i="1"/>
  <c r="AH131" i="1" s="1"/>
  <c r="AH150" i="1" s="1"/>
  <c r="AH52" i="1" s="1"/>
  <c r="AQ141" i="1"/>
  <c r="AR141" i="1" s="1"/>
  <c r="AS141" i="1" s="1"/>
  <c r="V150" i="1"/>
  <c r="V52" i="1" s="1"/>
  <c r="AR143" i="1"/>
  <c r="AF127" i="1"/>
  <c r="AF150" i="1" s="1"/>
  <c r="AF52" i="1" s="1"/>
  <c r="AJ130" i="1"/>
  <c r="BB130" i="1" s="1"/>
  <c r="T150" i="1"/>
  <c r="T52" i="1" s="1"/>
  <c r="BB114" i="1"/>
  <c r="AL132" i="1"/>
  <c r="BB132" i="1" s="1"/>
  <c r="U150" i="1"/>
  <c r="U52" i="1" s="1"/>
  <c r="I54" i="1"/>
  <c r="I56" i="1" s="1"/>
  <c r="I63" i="1"/>
  <c r="Z120" i="1"/>
  <c r="AU144" i="1"/>
  <c r="AS139" i="1"/>
  <c r="BB139" i="1" s="1"/>
  <c r="AI131" i="1"/>
  <c r="AJ131" i="1" s="1"/>
  <c r="BB116" i="1"/>
  <c r="Y119" i="1"/>
  <c r="Y150" i="1" s="1"/>
  <c r="Y52" i="1" s="1"/>
  <c r="AM137" i="1"/>
  <c r="BB124" i="1"/>
  <c r="S113" i="1"/>
  <c r="W150" i="1"/>
  <c r="W52" i="1" s="1"/>
  <c r="AL135" i="1"/>
  <c r="AI133" i="1"/>
  <c r="AJ133" i="1" s="1"/>
  <c r="L186" i="1"/>
  <c r="L184" i="1"/>
  <c r="J94" i="1"/>
  <c r="J95" i="1" s="1"/>
  <c r="J96" i="1" s="1"/>
  <c r="K91" i="1" s="1"/>
  <c r="I83" i="1"/>
  <c r="Z125" i="1"/>
  <c r="AA125" i="1" s="1"/>
  <c r="AI129" i="1"/>
  <c r="BB129" i="1" s="1"/>
  <c r="AR140" i="1"/>
  <c r="AR150" i="1" s="1"/>
  <c r="AC123" i="1"/>
  <c r="N112" i="1" l="1"/>
  <c r="N150" i="1" s="1"/>
  <c r="N52" i="1" s="1"/>
  <c r="F185" i="1"/>
  <c r="G68" i="1"/>
  <c r="AT141" i="1"/>
  <c r="AU141" i="1" s="1"/>
  <c r="AG127" i="1"/>
  <c r="AS143" i="1"/>
  <c r="AB125" i="1"/>
  <c r="AB150" i="1" s="1"/>
  <c r="AB52" i="1" s="1"/>
  <c r="AA150" i="1"/>
  <c r="AA52" i="1" s="1"/>
  <c r="I57" i="1"/>
  <c r="I64" i="1" s="1"/>
  <c r="I188" i="1" s="1"/>
  <c r="AS140" i="1"/>
  <c r="AT140" i="1" s="1"/>
  <c r="Z150" i="1"/>
  <c r="Z52" i="1" s="1"/>
  <c r="BB120" i="1"/>
  <c r="M186" i="1"/>
  <c r="M184" i="1"/>
  <c r="AV144" i="1"/>
  <c r="AW144" i="1" s="1"/>
  <c r="AX144" i="1" s="1"/>
  <c r="AN137" i="1"/>
  <c r="AK133" i="1"/>
  <c r="AL133" i="1" s="1"/>
  <c r="BB119" i="1"/>
  <c r="K94" i="1"/>
  <c r="K95" i="1" s="1"/>
  <c r="K96" i="1" s="1"/>
  <c r="L91" i="1" s="1"/>
  <c r="S150" i="1"/>
  <c r="S52" i="1" s="1"/>
  <c r="BB113" i="1"/>
  <c r="I65" i="1"/>
  <c r="I84" i="1"/>
  <c r="J79" i="1" s="1"/>
  <c r="BB123" i="1"/>
  <c r="AI150" i="1"/>
  <c r="AI52" i="1" s="1"/>
  <c r="AK131" i="1"/>
  <c r="AM135" i="1"/>
  <c r="AN135" i="1" s="1"/>
  <c r="AJ150" i="1"/>
  <c r="AJ52" i="1" s="1"/>
  <c r="O112" i="1" l="1"/>
  <c r="G185" i="1"/>
  <c r="H68" i="1"/>
  <c r="H185" i="1" s="1"/>
  <c r="BB141" i="1"/>
  <c r="AS150" i="1"/>
  <c r="BB140" i="1"/>
  <c r="BB127" i="1"/>
  <c r="AG150" i="1"/>
  <c r="AG52" i="1" s="1"/>
  <c r="AT143" i="1"/>
  <c r="I70" i="1"/>
  <c r="AN150" i="1"/>
  <c r="AO135" i="1"/>
  <c r="AX150" i="1"/>
  <c r="BB144" i="1"/>
  <c r="AM133" i="1"/>
  <c r="AL150" i="1"/>
  <c r="AL52" i="1" s="1"/>
  <c r="J82" i="1"/>
  <c r="AK150" i="1"/>
  <c r="AK52" i="1" s="1"/>
  <c r="BB131" i="1"/>
  <c r="O6" i="1"/>
  <c r="O87" i="1" s="1"/>
  <c r="N184" i="1"/>
  <c r="N186" i="1"/>
  <c r="AO137" i="1"/>
  <c r="AP137" i="1" s="1"/>
  <c r="L94" i="1"/>
  <c r="L95" i="1" s="1"/>
  <c r="L96" i="1" s="1"/>
  <c r="M91" i="1" s="1"/>
  <c r="I67" i="1"/>
  <c r="AC125" i="1"/>
  <c r="O150" i="1" l="1"/>
  <c r="O52" i="1" s="1"/>
  <c r="P112" i="1"/>
  <c r="O75" i="1"/>
  <c r="O104" i="1"/>
  <c r="AU143" i="1"/>
  <c r="AU150" i="1" s="1"/>
  <c r="AT150" i="1"/>
  <c r="AP150" i="1"/>
  <c r="AQ137" i="1"/>
  <c r="M94" i="1"/>
  <c r="M95" i="1" s="1"/>
  <c r="M96" i="1" s="1"/>
  <c r="N91" i="1" s="1"/>
  <c r="AD125" i="1"/>
  <c r="AC150" i="1"/>
  <c r="AC52" i="1" s="1"/>
  <c r="AM150" i="1"/>
  <c r="AM52" i="1" s="1"/>
  <c r="BB133" i="1"/>
  <c r="I68" i="1"/>
  <c r="I185" i="1" s="1"/>
  <c r="I190" i="1"/>
  <c r="AO150" i="1"/>
  <c r="BB135" i="1"/>
  <c r="J54" i="1"/>
  <c r="J56" i="1" s="1"/>
  <c r="J63" i="1"/>
  <c r="J83" i="1"/>
  <c r="O186" i="1"/>
  <c r="P6" i="1"/>
  <c r="P87" i="1" s="1"/>
  <c r="O184" i="1"/>
  <c r="AV143" i="1" l="1"/>
  <c r="AV150" i="1" s="1"/>
  <c r="P150" i="1"/>
  <c r="P52" i="1" s="1"/>
  <c r="Q112" i="1"/>
  <c r="P104" i="1"/>
  <c r="P75" i="1"/>
  <c r="AW143" i="1"/>
  <c r="AW150" i="1" s="1"/>
  <c r="BB143" i="1"/>
  <c r="J65" i="1"/>
  <c r="J84" i="1"/>
  <c r="K79" i="1" s="1"/>
  <c r="N94" i="1"/>
  <c r="N95" i="1" s="1"/>
  <c r="N96" i="1" s="1"/>
  <c r="O91" i="1" s="1"/>
  <c r="P184" i="1"/>
  <c r="P186" i="1"/>
  <c r="Q6" i="1"/>
  <c r="Q87" i="1" s="1"/>
  <c r="AE125" i="1"/>
  <c r="AD150" i="1"/>
  <c r="AD52" i="1" s="1"/>
  <c r="J57" i="1"/>
  <c r="J64" i="1" s="1"/>
  <c r="J188" i="1" s="1"/>
  <c r="AQ150" i="1"/>
  <c r="BB137" i="1"/>
  <c r="Q150" i="1" l="1"/>
  <c r="Q52" i="1" s="1"/>
  <c r="R112" i="1"/>
  <c r="Q104" i="1"/>
  <c r="Q75" i="1"/>
  <c r="O94" i="1"/>
  <c r="O95" i="1" s="1"/>
  <c r="O96" i="1" s="1"/>
  <c r="P91" i="1" s="1"/>
  <c r="J70" i="1"/>
  <c r="K82" i="1"/>
  <c r="J67" i="1"/>
  <c r="AE150" i="1"/>
  <c r="AE52" i="1" s="1"/>
  <c r="BB125" i="1"/>
  <c r="R6" i="1"/>
  <c r="R87" i="1" s="1"/>
  <c r="Q186" i="1"/>
  <c r="Q184" i="1"/>
  <c r="R150" i="1" l="1"/>
  <c r="R52" i="1" s="1"/>
  <c r="BB112" i="1"/>
  <c r="BB150" i="1" s="1"/>
  <c r="R104" i="1"/>
  <c r="R75" i="1"/>
  <c r="K54" i="1"/>
  <c r="K56" i="1" s="1"/>
  <c r="K63" i="1"/>
  <c r="K83" i="1"/>
  <c r="R186" i="1"/>
  <c r="S6" i="1"/>
  <c r="S87" i="1" s="1"/>
  <c r="R184" i="1"/>
  <c r="P94" i="1"/>
  <c r="P95" i="1" s="1"/>
  <c r="P96" i="1" s="1"/>
  <c r="Q91" i="1" s="1"/>
  <c r="J190" i="1"/>
  <c r="J68" i="1"/>
  <c r="J185" i="1" s="1"/>
  <c r="S75" i="1" l="1"/>
  <c r="S104" i="1"/>
  <c r="Q94" i="1"/>
  <c r="Q95" i="1" s="1"/>
  <c r="Q96" i="1" s="1"/>
  <c r="R91" i="1" s="1"/>
  <c r="K65" i="1"/>
  <c r="K84" i="1"/>
  <c r="L79" i="1" s="1"/>
  <c r="T6" i="1"/>
  <c r="T87" i="1" s="1"/>
  <c r="S184" i="1"/>
  <c r="S186" i="1"/>
  <c r="K57" i="1"/>
  <c r="K64" i="1" s="1"/>
  <c r="K188" i="1" s="1"/>
  <c r="T104" i="1" l="1"/>
  <c r="T75" i="1"/>
  <c r="T186" i="1"/>
  <c r="U6" i="1"/>
  <c r="U87" i="1" s="1"/>
  <c r="T184" i="1"/>
  <c r="K67" i="1"/>
  <c r="L82" i="1"/>
  <c r="R94" i="1"/>
  <c r="R95" i="1" s="1"/>
  <c r="R96" i="1" s="1"/>
  <c r="S91" i="1" s="1"/>
  <c r="K70" i="1"/>
  <c r="U104" i="1" l="1"/>
  <c r="U75" i="1"/>
  <c r="S94" i="1"/>
  <c r="S95" i="1" s="1"/>
  <c r="S96" i="1" s="1"/>
  <c r="T91" i="1" s="1"/>
  <c r="L54" i="1"/>
  <c r="L56" i="1" s="1"/>
  <c r="L63" i="1"/>
  <c r="L83" i="1"/>
  <c r="U186" i="1"/>
  <c r="V6" i="1"/>
  <c r="V87" i="1" s="1"/>
  <c r="U184" i="1"/>
  <c r="K190" i="1"/>
  <c r="K68" i="1"/>
  <c r="K185" i="1" s="1"/>
  <c r="V75" i="1" l="1"/>
  <c r="V104" i="1"/>
  <c r="T94" i="1"/>
  <c r="T95" i="1" s="1"/>
  <c r="T96" i="1" s="1"/>
  <c r="U91" i="1" s="1"/>
  <c r="L65" i="1"/>
  <c r="L84" i="1"/>
  <c r="M79" i="1" s="1"/>
  <c r="W6" i="1"/>
  <c r="W87" i="1" s="1"/>
  <c r="V184" i="1"/>
  <c r="V186" i="1"/>
  <c r="L57" i="1"/>
  <c r="L64" i="1" s="1"/>
  <c r="L188" i="1" s="1"/>
  <c r="W75" i="1" l="1"/>
  <c r="W104" i="1"/>
  <c r="W186" i="1"/>
  <c r="X6" i="1"/>
  <c r="X87" i="1" s="1"/>
  <c r="W184" i="1"/>
  <c r="L67" i="1"/>
  <c r="M82" i="1"/>
  <c r="L70" i="1"/>
  <c r="U94" i="1"/>
  <c r="U95" i="1" s="1"/>
  <c r="U96" i="1" s="1"/>
  <c r="V91" i="1" s="1"/>
  <c r="X104" i="1" l="1"/>
  <c r="X75" i="1"/>
  <c r="V94" i="1"/>
  <c r="V95" i="1" s="1"/>
  <c r="V96" i="1" s="1"/>
  <c r="W91" i="1" s="1"/>
  <c r="L68" i="1"/>
  <c r="L185" i="1" s="1"/>
  <c r="L190" i="1"/>
  <c r="M54" i="1"/>
  <c r="M56" i="1" s="1"/>
  <c r="M63" i="1"/>
  <c r="M83" i="1"/>
  <c r="X184" i="1"/>
  <c r="X186" i="1"/>
  <c r="Y6" i="1"/>
  <c r="Y87" i="1" s="1"/>
  <c r="Y104" i="1" l="1"/>
  <c r="Y75" i="1"/>
  <c r="M57" i="1"/>
  <c r="M64" i="1" s="1"/>
  <c r="M188" i="1" s="1"/>
  <c r="M65" i="1"/>
  <c r="M84" i="1"/>
  <c r="N79" i="1" s="1"/>
  <c r="Z6" i="1"/>
  <c r="Z87" i="1" s="1"/>
  <c r="Y186" i="1"/>
  <c r="Y184" i="1"/>
  <c r="W94" i="1"/>
  <c r="W95" i="1" s="1"/>
  <c r="W96" i="1" s="1"/>
  <c r="X91" i="1" s="1"/>
  <c r="Z104" i="1" l="1"/>
  <c r="Z75" i="1"/>
  <c r="X94" i="1"/>
  <c r="X95" i="1" s="1"/>
  <c r="X96" i="1" s="1"/>
  <c r="Y91" i="1" s="1"/>
  <c r="M70" i="1"/>
  <c r="N82" i="1"/>
  <c r="Z186" i="1"/>
  <c r="AA6" i="1"/>
  <c r="AA87" i="1" s="1"/>
  <c r="Z184" i="1"/>
  <c r="M67" i="1"/>
  <c r="AA75" i="1" l="1"/>
  <c r="AA104" i="1"/>
  <c r="Y94" i="1"/>
  <c r="Y95" i="1" s="1"/>
  <c r="Y96" i="1" s="1"/>
  <c r="Z91" i="1" s="1"/>
  <c r="AB6" i="1"/>
  <c r="AB87" i="1" s="1"/>
  <c r="AA184" i="1"/>
  <c r="AA186" i="1"/>
  <c r="N63" i="1"/>
  <c r="N54" i="1"/>
  <c r="N56" i="1" s="1"/>
  <c r="N83" i="1"/>
  <c r="M190" i="1"/>
  <c r="M68" i="1"/>
  <c r="M185" i="1" s="1"/>
  <c r="AB75" i="1" l="1"/>
  <c r="AB104" i="1"/>
  <c r="Z94" i="1"/>
  <c r="Z95" i="1" s="1"/>
  <c r="Z96" i="1" s="1"/>
  <c r="AA91" i="1" s="1"/>
  <c r="AB186" i="1"/>
  <c r="AC6" i="1"/>
  <c r="AC87" i="1" s="1"/>
  <c r="AB184" i="1"/>
  <c r="N65" i="1"/>
  <c r="N84" i="1"/>
  <c r="O79" i="1" s="1"/>
  <c r="N57" i="1"/>
  <c r="N64" i="1" s="1"/>
  <c r="N188" i="1" s="1"/>
  <c r="AC104" i="1" l="1"/>
  <c r="AC75" i="1"/>
  <c r="AA94" i="1"/>
  <c r="AA95" i="1" s="1"/>
  <c r="AA96" i="1" s="1"/>
  <c r="AB91" i="1" s="1"/>
  <c r="N67" i="1"/>
  <c r="O82" i="1"/>
  <c r="AD6" i="1"/>
  <c r="AD87" i="1" s="1"/>
  <c r="AC184" i="1"/>
  <c r="AC186" i="1"/>
  <c r="N70" i="1"/>
  <c r="AD75" i="1" l="1"/>
  <c r="AD104" i="1"/>
  <c r="O54" i="1"/>
  <c r="O56" i="1" s="1"/>
  <c r="O63" i="1"/>
  <c r="O83" i="1"/>
  <c r="AB94" i="1"/>
  <c r="AB95" i="1" s="1"/>
  <c r="AB96" i="1" s="1"/>
  <c r="AC91" i="1" s="1"/>
  <c r="AE6" i="1"/>
  <c r="AE87" i="1" s="1"/>
  <c r="AD184" i="1"/>
  <c r="AD186" i="1"/>
  <c r="N190" i="1"/>
  <c r="N68" i="1"/>
  <c r="N185" i="1" s="1"/>
  <c r="AE75" i="1" l="1"/>
  <c r="AE104" i="1"/>
  <c r="AC94" i="1"/>
  <c r="AC95" i="1" s="1"/>
  <c r="AC96" i="1" s="1"/>
  <c r="AD91" i="1" s="1"/>
  <c r="AE186" i="1"/>
  <c r="AF6" i="1"/>
  <c r="AF87" i="1" s="1"/>
  <c r="AE184" i="1"/>
  <c r="O65" i="1"/>
  <c r="O84" i="1"/>
  <c r="P79" i="1" s="1"/>
  <c r="O57" i="1"/>
  <c r="O64" i="1" s="1"/>
  <c r="O188" i="1" s="1"/>
  <c r="AF104" i="1" l="1"/>
  <c r="AF75" i="1"/>
  <c r="O67" i="1"/>
  <c r="O68" i="1" s="1"/>
  <c r="O185" i="1" s="1"/>
  <c r="O70" i="1"/>
  <c r="P82" i="1"/>
  <c r="AF184" i="1"/>
  <c r="AF186" i="1"/>
  <c r="AG6" i="1"/>
  <c r="AG87" i="1" s="1"/>
  <c r="AD94" i="1"/>
  <c r="AD95" i="1" s="1"/>
  <c r="AD96" i="1" s="1"/>
  <c r="AE91" i="1" s="1"/>
  <c r="AG104" i="1" l="1"/>
  <c r="AG75" i="1"/>
  <c r="O190" i="1"/>
  <c r="AE94" i="1"/>
  <c r="AE95" i="1" s="1"/>
  <c r="AE96" i="1"/>
  <c r="AF91" i="1" s="1"/>
  <c r="AH6" i="1"/>
  <c r="AH87" i="1" s="1"/>
  <c r="AG186" i="1"/>
  <c r="AG184" i="1"/>
  <c r="P54" i="1"/>
  <c r="P56" i="1" s="1"/>
  <c r="P63" i="1"/>
  <c r="P83" i="1"/>
  <c r="AH104" i="1" l="1"/>
  <c r="AH75" i="1"/>
  <c r="P65" i="1"/>
  <c r="P84" i="1"/>
  <c r="Q79" i="1" s="1"/>
  <c r="P57" i="1"/>
  <c r="P64" i="1" s="1"/>
  <c r="P188" i="1" s="1"/>
  <c r="AH186" i="1"/>
  <c r="AI6" i="1"/>
  <c r="AI87" i="1" s="1"/>
  <c r="AH184" i="1"/>
  <c r="AF94" i="1"/>
  <c r="AF95" i="1" s="1"/>
  <c r="AF96" i="1" s="1"/>
  <c r="AG91" i="1" s="1"/>
  <c r="AI75" i="1" l="1"/>
  <c r="AI104" i="1"/>
  <c r="P70" i="1"/>
  <c r="P67" i="1"/>
  <c r="AJ6" i="1"/>
  <c r="AJ87" i="1" s="1"/>
  <c r="AI184" i="1"/>
  <c r="AI186" i="1"/>
  <c r="AG94" i="1"/>
  <c r="AG95" i="1" s="1"/>
  <c r="AG96" i="1" s="1"/>
  <c r="AH91" i="1" s="1"/>
  <c r="Q82" i="1"/>
  <c r="AJ75" i="1" l="1"/>
  <c r="AJ104" i="1"/>
  <c r="AH94" i="1"/>
  <c r="AH95" i="1" s="1"/>
  <c r="AH96" i="1" s="1"/>
  <c r="AI91" i="1" s="1"/>
  <c r="AJ186" i="1"/>
  <c r="AK6" i="1"/>
  <c r="AK87" i="1" s="1"/>
  <c r="AJ184" i="1"/>
  <c r="P68" i="1"/>
  <c r="P185" i="1" s="1"/>
  <c r="P190" i="1"/>
  <c r="Q54" i="1"/>
  <c r="Q56" i="1" s="1"/>
  <c r="Q63" i="1"/>
  <c r="Q83" i="1"/>
  <c r="AK75" i="1" l="1"/>
  <c r="AK104" i="1"/>
  <c r="AI94" i="1"/>
  <c r="AI95" i="1" s="1"/>
  <c r="AI96" i="1" s="1"/>
  <c r="AJ91" i="1" s="1"/>
  <c r="AL6" i="1"/>
  <c r="AL87" i="1" s="1"/>
  <c r="AK184" i="1"/>
  <c r="AK186" i="1"/>
  <c r="Q57" i="1"/>
  <c r="Q64" i="1" s="1"/>
  <c r="Q188" i="1" s="1"/>
  <c r="Q65" i="1"/>
  <c r="Q84" i="1"/>
  <c r="R79" i="1" s="1"/>
  <c r="AL75" i="1" l="1"/>
  <c r="AL104" i="1"/>
  <c r="Q70" i="1"/>
  <c r="AM6" i="1"/>
  <c r="AM87" i="1" s="1"/>
  <c r="AL184" i="1"/>
  <c r="AL186" i="1"/>
  <c r="Q67" i="1"/>
  <c r="AJ94" i="1"/>
  <c r="AJ95" i="1" s="1"/>
  <c r="AJ96" i="1" s="1"/>
  <c r="AK91" i="1" s="1"/>
  <c r="R82" i="1"/>
  <c r="AM75" i="1" l="1"/>
  <c r="AM104" i="1"/>
  <c r="AK94" i="1"/>
  <c r="AK95" i="1" s="1"/>
  <c r="AK96" i="1" s="1"/>
  <c r="AL91" i="1" s="1"/>
  <c r="Q190" i="1"/>
  <c r="Q68" i="1"/>
  <c r="Q185" i="1" s="1"/>
  <c r="AM186" i="1"/>
  <c r="AN6" i="1"/>
  <c r="AN87" i="1" s="1"/>
  <c r="AM184" i="1"/>
  <c r="R54" i="1"/>
  <c r="R56" i="1" s="1"/>
  <c r="R63" i="1"/>
  <c r="R83" i="1"/>
  <c r="AN104" i="1" l="1"/>
  <c r="AN75" i="1"/>
  <c r="AN184" i="1"/>
  <c r="AN186" i="1"/>
  <c r="AO6" i="1"/>
  <c r="AO87" i="1" s="1"/>
  <c r="R57" i="1"/>
  <c r="R64" i="1" s="1"/>
  <c r="R188" i="1" s="1"/>
  <c r="R65" i="1"/>
  <c r="R84" i="1"/>
  <c r="S79" i="1" s="1"/>
  <c r="AL94" i="1"/>
  <c r="AL95" i="1" s="1"/>
  <c r="AL96" i="1" s="1"/>
  <c r="AM91" i="1" s="1"/>
  <c r="AO104" i="1" l="1"/>
  <c r="AO75" i="1"/>
  <c r="AM94" i="1"/>
  <c r="AM95" i="1" s="1"/>
  <c r="AM96" i="1" s="1"/>
  <c r="AN91" i="1" s="1"/>
  <c r="S82" i="1"/>
  <c r="R70" i="1"/>
  <c r="AO186" i="1"/>
  <c r="AO184" i="1"/>
  <c r="R67" i="1"/>
  <c r="R190" i="1" l="1"/>
  <c r="R68" i="1"/>
  <c r="R185" i="1" s="1"/>
  <c r="S83" i="1"/>
  <c r="S54" i="1"/>
  <c r="S56" i="1" s="1"/>
  <c r="S63" i="1"/>
  <c r="AN94" i="1"/>
  <c r="AN95" i="1" s="1"/>
  <c r="AN96" i="1" s="1"/>
  <c r="AO91" i="1" s="1"/>
  <c r="AO94" i="1" l="1"/>
  <c r="AO95" i="1" s="1"/>
  <c r="AO96" i="1" s="1"/>
  <c r="AP91" i="1" s="1"/>
  <c r="S57" i="1"/>
  <c r="S64" i="1" s="1"/>
  <c r="S188" i="1" s="1"/>
  <c r="S65" i="1"/>
  <c r="S84" i="1"/>
  <c r="T79" i="1" s="1"/>
  <c r="AP94" i="1" l="1"/>
  <c r="AP95" i="1" s="1"/>
  <c r="AP96" i="1" s="1"/>
  <c r="AQ91" i="1" s="1"/>
  <c r="S70" i="1"/>
  <c r="S67" i="1"/>
  <c r="T82" i="1"/>
  <c r="T54" i="1" l="1"/>
  <c r="T56" i="1" s="1"/>
  <c r="T63" i="1"/>
  <c r="T83" i="1"/>
  <c r="AQ94" i="1"/>
  <c r="AQ95" i="1" s="1"/>
  <c r="AQ96" i="1" s="1"/>
  <c r="S68" i="1"/>
  <c r="S185" i="1" s="1"/>
  <c r="S190" i="1"/>
  <c r="T65" i="1" l="1"/>
  <c r="T84" i="1"/>
  <c r="U79" i="1" s="1"/>
  <c r="T57" i="1"/>
  <c r="T64" i="1" s="1"/>
  <c r="T188" i="1" s="1"/>
  <c r="U82" i="1" l="1"/>
  <c r="T70" i="1"/>
  <c r="T67" i="1"/>
  <c r="T68" i="1" l="1"/>
  <c r="T185" i="1" s="1"/>
  <c r="T190" i="1"/>
  <c r="U54" i="1"/>
  <c r="U56" i="1" s="1"/>
  <c r="U63" i="1"/>
  <c r="U83" i="1"/>
  <c r="U65" i="1" l="1"/>
  <c r="U84" i="1"/>
  <c r="V79" i="1" s="1"/>
  <c r="U57" i="1"/>
  <c r="U64" i="1" s="1"/>
  <c r="U188" i="1" s="1"/>
  <c r="U67" i="1" l="1"/>
  <c r="V82" i="1"/>
  <c r="U70" i="1"/>
  <c r="V54" i="1" l="1"/>
  <c r="V56" i="1" s="1"/>
  <c r="V63" i="1"/>
  <c r="V83" i="1"/>
  <c r="U68" i="1"/>
  <c r="U185" i="1" s="1"/>
  <c r="U190" i="1"/>
  <c r="V65" i="1" l="1"/>
  <c r="V84" i="1"/>
  <c r="W79" i="1" s="1"/>
  <c r="V57" i="1"/>
  <c r="V64" i="1" s="1"/>
  <c r="V188" i="1" s="1"/>
  <c r="V70" i="1" l="1"/>
  <c r="V67" i="1"/>
  <c r="W82" i="1"/>
  <c r="V190" i="1" l="1"/>
  <c r="V68" i="1"/>
  <c r="V185" i="1" s="1"/>
  <c r="W54" i="1"/>
  <c r="W56" i="1" s="1"/>
  <c r="W63" i="1"/>
  <c r="W83" i="1"/>
  <c r="W65" i="1" l="1"/>
  <c r="W84" i="1"/>
  <c r="X79" i="1" s="1"/>
  <c r="W57" i="1"/>
  <c r="W64" i="1" s="1"/>
  <c r="W188" i="1" s="1"/>
  <c r="W70" i="1" l="1"/>
  <c r="W67" i="1"/>
  <c r="X82" i="1"/>
  <c r="X63" i="1" l="1"/>
  <c r="X54" i="1"/>
  <c r="X56" i="1" s="1"/>
  <c r="X83" i="1"/>
  <c r="W190" i="1"/>
  <c r="W68" i="1"/>
  <c r="W185" i="1" s="1"/>
  <c r="X65" i="1" l="1"/>
  <c r="X84" i="1"/>
  <c r="Y79" i="1" s="1"/>
  <c r="X57" i="1"/>
  <c r="X64" i="1" s="1"/>
  <c r="X188" i="1" s="1"/>
  <c r="X70" i="1" l="1"/>
  <c r="X67" i="1"/>
  <c r="Y82" i="1"/>
  <c r="X68" i="1" l="1"/>
  <c r="X185" i="1" s="1"/>
  <c r="X190" i="1"/>
  <c r="Y63" i="1"/>
  <c r="Y83" i="1"/>
  <c r="Y54" i="1"/>
  <c r="Y56" i="1" s="1"/>
  <c r="Y57" i="1" l="1"/>
  <c r="Y64" i="1" s="1"/>
  <c r="Y188" i="1" s="1"/>
  <c r="Y65" i="1"/>
  <c r="Y84" i="1"/>
  <c r="Z79" i="1" s="1"/>
  <c r="Z82" i="1" l="1"/>
  <c r="Y70" i="1"/>
  <c r="Y67" i="1"/>
  <c r="Y68" i="1" l="1"/>
  <c r="Y185" i="1" s="1"/>
  <c r="Y190" i="1"/>
  <c r="Z63" i="1"/>
  <c r="Z83" i="1"/>
  <c r="Z54" i="1"/>
  <c r="Z56" i="1" s="1"/>
  <c r="Z57" i="1" l="1"/>
  <c r="Z64" i="1" s="1"/>
  <c r="Z188" i="1" s="1"/>
  <c r="Z65" i="1"/>
  <c r="Z84" i="1"/>
  <c r="AA79" i="1" s="1"/>
  <c r="Z67" i="1" l="1"/>
  <c r="Z190" i="1" s="1"/>
  <c r="AA82" i="1"/>
  <c r="Z70" i="1"/>
  <c r="Z68" i="1" l="1"/>
  <c r="Z185" i="1" s="1"/>
  <c r="AA54" i="1"/>
  <c r="AA56" i="1" s="1"/>
  <c r="AA63" i="1"/>
  <c r="AA83" i="1"/>
  <c r="AA65" i="1" l="1"/>
  <c r="AA84" i="1"/>
  <c r="AB79" i="1" s="1"/>
  <c r="AA57" i="1"/>
  <c r="AA64" i="1" s="1"/>
  <c r="AA188" i="1" s="1"/>
  <c r="AA67" i="1" l="1"/>
  <c r="AB82" i="1"/>
  <c r="AA70" i="1"/>
  <c r="AB54" i="1" l="1"/>
  <c r="AB56" i="1" s="1"/>
  <c r="AB63" i="1"/>
  <c r="AB83" i="1"/>
  <c r="AA68" i="1"/>
  <c r="AA185" i="1" s="1"/>
  <c r="AA190" i="1"/>
  <c r="AB65" i="1" l="1"/>
  <c r="AB84" i="1"/>
  <c r="AC79" i="1" s="1"/>
  <c r="AB57" i="1"/>
  <c r="AB64" i="1" s="1"/>
  <c r="AB188" i="1" s="1"/>
  <c r="AB70" i="1" l="1"/>
  <c r="AB67" i="1"/>
  <c r="AB68" i="1" s="1"/>
  <c r="AB185" i="1" s="1"/>
  <c r="AC82" i="1"/>
  <c r="AB190" i="1" l="1"/>
  <c r="AC63" i="1"/>
  <c r="AC54" i="1"/>
  <c r="AC56" i="1" s="1"/>
  <c r="AC83" i="1"/>
  <c r="AC65" i="1" l="1"/>
  <c r="AC84" i="1"/>
  <c r="AD79" i="1" s="1"/>
  <c r="AC57" i="1"/>
  <c r="AC64" i="1" s="1"/>
  <c r="AC188" i="1" s="1"/>
  <c r="AC67" i="1" l="1"/>
  <c r="AC70" i="1"/>
  <c r="AD82" i="1"/>
  <c r="AD54" i="1" l="1"/>
  <c r="AD56" i="1" s="1"/>
  <c r="AD63" i="1"/>
  <c r="AD83" i="1"/>
  <c r="AC68" i="1"/>
  <c r="AC185" i="1" s="1"/>
  <c r="AC190" i="1"/>
  <c r="AD65" i="1" l="1"/>
  <c r="AD84" i="1"/>
  <c r="AE79" i="1" s="1"/>
  <c r="AD57" i="1"/>
  <c r="AD64" i="1" s="1"/>
  <c r="AD188" i="1" s="1"/>
  <c r="AD67" i="1" l="1"/>
  <c r="AD70" i="1"/>
  <c r="AE82" i="1"/>
  <c r="AE54" i="1" l="1"/>
  <c r="AE56" i="1" s="1"/>
  <c r="AE63" i="1"/>
  <c r="AE83" i="1"/>
  <c r="AD190" i="1"/>
  <c r="AD68" i="1"/>
  <c r="AD185" i="1" s="1"/>
  <c r="AE65" i="1" l="1"/>
  <c r="AE84" i="1"/>
  <c r="AF79" i="1" s="1"/>
  <c r="AE57" i="1"/>
  <c r="AE64" i="1" s="1"/>
  <c r="AE188" i="1" s="1"/>
  <c r="AE70" i="1" l="1"/>
  <c r="AF82" i="1"/>
  <c r="AE67" i="1"/>
  <c r="AE68" i="1" l="1"/>
  <c r="AE185" i="1" s="1"/>
  <c r="AE190" i="1"/>
  <c r="AF54" i="1"/>
  <c r="AF56" i="1" s="1"/>
  <c r="AF83" i="1"/>
  <c r="AF63" i="1"/>
  <c r="AF65" i="1" l="1"/>
  <c r="AF84" i="1"/>
  <c r="AG79" i="1" s="1"/>
  <c r="AF57" i="1"/>
  <c r="AF64" i="1" s="1"/>
  <c r="AF188" i="1" s="1"/>
  <c r="AG82" i="1" l="1"/>
  <c r="AF70" i="1"/>
  <c r="AF67" i="1"/>
  <c r="AF68" i="1" l="1"/>
  <c r="AF185" i="1" s="1"/>
  <c r="AF190" i="1"/>
  <c r="AG63" i="1"/>
  <c r="AG54" i="1"/>
  <c r="AG56" i="1" s="1"/>
  <c r="AG83" i="1"/>
  <c r="AG65" i="1" l="1"/>
  <c r="AG84" i="1"/>
  <c r="AH79" i="1" s="1"/>
  <c r="AG57" i="1"/>
  <c r="AG64" i="1" s="1"/>
  <c r="AG188" i="1" s="1"/>
  <c r="AG67" i="1" l="1"/>
  <c r="AG70" i="1"/>
  <c r="AH82" i="1"/>
  <c r="AH54" i="1" l="1"/>
  <c r="AH56" i="1" s="1"/>
  <c r="AH63" i="1"/>
  <c r="AH83" i="1"/>
  <c r="AG190" i="1"/>
  <c r="AG68" i="1"/>
  <c r="AG185" i="1" s="1"/>
  <c r="AH65" i="1" l="1"/>
  <c r="AH84" i="1"/>
  <c r="AI79" i="1" s="1"/>
  <c r="AH57" i="1"/>
  <c r="AH64" i="1" s="1"/>
  <c r="AH188" i="1" s="1"/>
  <c r="AH70" i="1" l="1"/>
  <c r="AI82" i="1"/>
  <c r="AH67" i="1"/>
  <c r="AI83" i="1" l="1"/>
  <c r="AI63" i="1"/>
  <c r="AI54" i="1"/>
  <c r="AI56" i="1" s="1"/>
  <c r="AH190" i="1"/>
  <c r="AH68" i="1"/>
  <c r="AH185" i="1" s="1"/>
  <c r="AI57" i="1" l="1"/>
  <c r="AI64" i="1" s="1"/>
  <c r="AI188" i="1" s="1"/>
  <c r="AI65" i="1"/>
  <c r="AI84" i="1"/>
  <c r="AJ79" i="1" s="1"/>
  <c r="AJ82" i="1" l="1"/>
  <c r="AI70" i="1"/>
  <c r="AI67" i="1"/>
  <c r="AI68" i="1" l="1"/>
  <c r="AI185" i="1" s="1"/>
  <c r="AI190" i="1"/>
  <c r="AJ54" i="1"/>
  <c r="AJ56" i="1" s="1"/>
  <c r="AJ63" i="1"/>
  <c r="AJ83" i="1"/>
  <c r="AJ65" i="1" l="1"/>
  <c r="AJ84" i="1"/>
  <c r="AK79" i="1" s="1"/>
  <c r="AJ57" i="1"/>
  <c r="AJ64" i="1" s="1"/>
  <c r="AJ188" i="1" s="1"/>
  <c r="AJ67" i="1" l="1"/>
  <c r="AK82" i="1"/>
  <c r="AJ70" i="1"/>
  <c r="AK54" i="1" l="1"/>
  <c r="AK56" i="1" s="1"/>
  <c r="AK63" i="1"/>
  <c r="AK83" i="1"/>
  <c r="AJ68" i="1"/>
  <c r="AJ185" i="1" s="1"/>
  <c r="AJ190" i="1"/>
  <c r="AK65" i="1" l="1"/>
  <c r="AK84" i="1"/>
  <c r="AL79" i="1" s="1"/>
  <c r="AK57" i="1"/>
  <c r="AK64" i="1" s="1"/>
  <c r="AK188" i="1" s="1"/>
  <c r="AK70" i="1" l="1"/>
  <c r="AL82" i="1"/>
  <c r="AK67" i="1"/>
  <c r="AK68" i="1" l="1"/>
  <c r="AK185" i="1" s="1"/>
  <c r="AK190" i="1"/>
  <c r="AL54" i="1"/>
  <c r="AL56" i="1" s="1"/>
  <c r="AL83" i="1"/>
  <c r="AL63" i="1"/>
  <c r="AL57" i="1" l="1"/>
  <c r="AL64" i="1" s="1"/>
  <c r="AL188" i="1" s="1"/>
  <c r="AL65" i="1"/>
  <c r="AL84" i="1"/>
  <c r="AM79" i="1" s="1"/>
  <c r="AL67" i="1" l="1"/>
  <c r="AL190" i="1" s="1"/>
  <c r="AL70" i="1"/>
  <c r="AM82" i="1"/>
  <c r="AL68" i="1" l="1"/>
  <c r="AL185" i="1" s="1"/>
  <c r="AM54" i="1"/>
  <c r="AM56" i="1" s="1"/>
  <c r="AM63" i="1"/>
  <c r="AM83" i="1"/>
  <c r="AM65" i="1" l="1"/>
  <c r="AM84" i="1"/>
  <c r="AN79" i="1" s="1"/>
  <c r="AM57" i="1"/>
  <c r="AM64" i="1" s="1"/>
  <c r="AM188" i="1" s="1"/>
  <c r="AN82" i="1" l="1"/>
  <c r="AM70" i="1"/>
  <c r="AM67" i="1"/>
  <c r="B5" i="1" s="1"/>
  <c r="AM190" i="1" l="1"/>
  <c r="AM68" i="1"/>
  <c r="AM185" i="1" s="1"/>
  <c r="AN54" i="1"/>
  <c r="AN56" i="1" s="1"/>
  <c r="AN57" i="1" s="1"/>
  <c r="AN64" i="1" s="1"/>
  <c r="AN188" i="1" s="1"/>
  <c r="AN63" i="1"/>
  <c r="AN83" i="1"/>
  <c r="AN65" i="1" l="1"/>
  <c r="AN67" i="1" s="1"/>
  <c r="AN190" i="1" s="1"/>
  <c r="AN84" i="1"/>
  <c r="AO79" i="1" s="1"/>
  <c r="AO82" i="1" l="1"/>
  <c r="AO54" i="1" l="1"/>
  <c r="AO56" i="1" s="1"/>
  <c r="AO57" i="1" s="1"/>
  <c r="AO64" i="1" s="1"/>
  <c r="AO188" i="1" s="1"/>
  <c r="AO63" i="1"/>
  <c r="AO83" i="1"/>
  <c r="AO65" i="1" l="1"/>
  <c r="AO67" i="1" s="1"/>
  <c r="AO84" i="1"/>
  <c r="AP79" i="1" s="1"/>
  <c r="AO68" i="1" l="1"/>
  <c r="AO185" i="1" s="1"/>
  <c r="AO190" i="1"/>
  <c r="G5" i="1"/>
  <c r="G3" i="1" s="1"/>
  <c r="AP82" i="1"/>
  <c r="AP83" i="1" s="1"/>
  <c r="AP84" i="1" s="1"/>
  <c r="AQ79" i="1" s="1"/>
  <c r="AQ82" i="1" l="1"/>
  <c r="AQ83" i="1" s="1"/>
  <c r="AQ84" i="1" s="1"/>
</calcChain>
</file>

<file path=xl/sharedStrings.xml><?xml version="1.0" encoding="utf-8"?>
<sst xmlns="http://schemas.openxmlformats.org/spreadsheetml/2006/main" count="149" uniqueCount="109">
  <si>
    <t>US$/MWh</t>
  </si>
  <si>
    <t>Capacity Factor</t>
  </si>
  <si>
    <t>Depreciation</t>
  </si>
  <si>
    <t>years</t>
  </si>
  <si>
    <t>Loan US</t>
  </si>
  <si>
    <t>Interest US</t>
  </si>
  <si>
    <t>Loan period US</t>
  </si>
  <si>
    <t>O&amp;M US</t>
  </si>
  <si>
    <t>Loan DS</t>
  </si>
  <si>
    <t>Interest DS</t>
  </si>
  <si>
    <t>Loan period DS</t>
  </si>
  <si>
    <t>PI</t>
  </si>
  <si>
    <t>O&amp;M DS</t>
  </si>
  <si>
    <t>$/MWh</t>
  </si>
  <si>
    <t>Tax</t>
  </si>
  <si>
    <t>IDC US</t>
  </si>
  <si>
    <t>Exploration well cost</t>
  </si>
  <si>
    <t>US$ 000</t>
  </si>
  <si>
    <t>Additional Prod. Fac.</t>
  </si>
  <si>
    <t>Tangible well cost</t>
  </si>
  <si>
    <t>Disc rate</t>
  </si>
  <si>
    <t>IDC DS</t>
  </si>
  <si>
    <t>Development well cost</t>
  </si>
  <si>
    <t>NPV</t>
  </si>
  <si>
    <t>Depreciation rate</t>
  </si>
  <si>
    <t>Injection well cost</t>
  </si>
  <si>
    <t>Project year</t>
  </si>
  <si>
    <t>Operational year</t>
  </si>
  <si>
    <t>GENERATION                         Unit 1</t>
  </si>
  <si>
    <t xml:space="preserve">                                       Unit 2</t>
  </si>
  <si>
    <t xml:space="preserve">                                       Unit 3</t>
  </si>
  <si>
    <t xml:space="preserve">                                       Unit 4</t>
  </si>
  <si>
    <t>Total generation</t>
  </si>
  <si>
    <t>REVENUE                               Unit 1</t>
  </si>
  <si>
    <t>Total revenue</t>
  </si>
  <si>
    <t>STEAM FIELD DEVELOPMENT</t>
  </si>
  <si>
    <t>Capital</t>
  </si>
  <si>
    <t xml:space="preserve">    Exploration drilling </t>
  </si>
  <si>
    <t xml:space="preserve">    Development drilling</t>
  </si>
  <si>
    <t xml:space="preserve">    Development makeup</t>
  </si>
  <si>
    <t xml:space="preserve">    Injection well</t>
  </si>
  <si>
    <t xml:space="preserve">    Land cost, access and site work</t>
  </si>
  <si>
    <t xml:space="preserve">    Gathering system</t>
  </si>
  <si>
    <t xml:space="preserve">    Piping network</t>
  </si>
  <si>
    <t xml:space="preserve">    Support facilities</t>
  </si>
  <si>
    <t>Total capital</t>
  </si>
  <si>
    <t xml:space="preserve">    Intangible well cost</t>
  </si>
  <si>
    <t xml:space="preserve">    Tangible well cost</t>
  </si>
  <si>
    <t>Expense</t>
  </si>
  <si>
    <t xml:space="preserve">    G&amp;G surveys</t>
  </si>
  <si>
    <t xml:space="preserve">    Core holes</t>
  </si>
  <si>
    <t xml:space="preserve">    Resource study</t>
  </si>
  <si>
    <t xml:space="preserve">    Environment</t>
  </si>
  <si>
    <t xml:space="preserve">    Reservoir study</t>
  </si>
  <si>
    <t xml:space="preserve">    Operating cost</t>
  </si>
  <si>
    <t>Total expense</t>
  </si>
  <si>
    <t>PLANT DEVELOPMENT</t>
  </si>
  <si>
    <t xml:space="preserve">     Detailed engineering</t>
  </si>
  <si>
    <t xml:space="preserve">     Land cost and excavation</t>
  </si>
  <si>
    <t xml:space="preserve">     Plant equipment constr &amp; Install.</t>
  </si>
  <si>
    <t xml:space="preserve">     Civil work</t>
  </si>
  <si>
    <t xml:space="preserve">     Operating cost</t>
  </si>
  <si>
    <t xml:space="preserve">     Other cost</t>
  </si>
  <si>
    <t>INCOME TAX</t>
  </si>
  <si>
    <t>Revenue</t>
  </si>
  <si>
    <t>Less : Depreciation</t>
  </si>
  <si>
    <t xml:space="preserve">          Intangible well cost dep.</t>
  </si>
  <si>
    <t xml:space="preserve">          Interest deduction</t>
  </si>
  <si>
    <t xml:space="preserve">          Expense</t>
  </si>
  <si>
    <t>Taxable income</t>
  </si>
  <si>
    <t>Income tax</t>
  </si>
  <si>
    <t>CASH FLOW</t>
  </si>
  <si>
    <t>Loan capital</t>
  </si>
  <si>
    <t>LESS : Total capital</t>
  </si>
  <si>
    <t xml:space="preserve">           Total expense</t>
  </si>
  <si>
    <t xml:space="preserve">            Interest</t>
  </si>
  <si>
    <t xml:space="preserve">            Income tax</t>
  </si>
  <si>
    <t xml:space="preserve">            Principle payment</t>
  </si>
  <si>
    <t>Cummulative cash flow</t>
  </si>
  <si>
    <t>LOAN CALCULATION</t>
  </si>
  <si>
    <t>Year</t>
  </si>
  <si>
    <t>Interest During Construction (IDC)</t>
  </si>
  <si>
    <t>Total Loan</t>
  </si>
  <si>
    <t>Begin Loan Balance</t>
  </si>
  <si>
    <t>Capital Recovery Factor</t>
  </si>
  <si>
    <t xml:space="preserve"> </t>
  </si>
  <si>
    <t>Annuity payment</t>
  </si>
  <si>
    <t>Interest payment</t>
  </si>
  <si>
    <t>Principle payment</t>
  </si>
  <si>
    <t>End Loan Balance</t>
  </si>
  <si>
    <t>DEPRECIATION</t>
  </si>
  <si>
    <t>Plant depreciation (S.L)</t>
  </si>
  <si>
    <t>Total depreciation</t>
  </si>
  <si>
    <t>Cum Cash Flow</t>
  </si>
  <si>
    <t>Government Tax</t>
  </si>
  <si>
    <t>Pertmina's Income</t>
  </si>
  <si>
    <t>Developer Net Profit</t>
  </si>
  <si>
    <t>Steam field tangible (DB)</t>
  </si>
  <si>
    <t>Well Capacity</t>
  </si>
  <si>
    <t>MW/well</t>
  </si>
  <si>
    <t>ELECTRICITY PRICE</t>
  </si>
  <si>
    <t>INCOME STATEMENT</t>
  </si>
  <si>
    <t>Net cash flow/CF STATEMENT</t>
  </si>
  <si>
    <t>Unit 1</t>
  </si>
  <si>
    <t>Unit 2</t>
  </si>
  <si>
    <t>MW</t>
  </si>
  <si>
    <t>DDB</t>
  </si>
  <si>
    <t xml:space="preserve"> Total Expense</t>
  </si>
  <si>
    <t xml:space="preserve">IRR on Equity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</si>
</sst>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2" fillId="0" borderId="0" xfId="0" applyFont="1"/>
    <xf numFmtId="0" fontId="0" fillId="0" borderId="0" xfId="0" quotePrefix="1" applyAlignment="1">
      <alignment horizontal="right"/>
    </xf>
    <xf numFmtId="0" fontId="1" fillId="0" borderId="0" xfId="0" quotePrefix="1" applyFont="1" applyAlignment="1">
      <alignment horizontal="right"/>
    </xf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" fontId="0" fillId="0" borderId="6" xfId="0" applyNumberFormat="1" applyBorder="1"/>
    <xf numFmtId="1" fontId="0" fillId="0" borderId="5" xfId="0" applyNumberFormat="1" applyBorder="1"/>
    <xf numFmtId="1" fontId="0" fillId="0" borderId="7" xfId="0" applyNumberFormat="1" applyBorder="1"/>
    <xf numFmtId="1" fontId="0" fillId="0" borderId="8" xfId="0" applyNumberFormat="1" applyBorder="1"/>
    <xf numFmtId="1" fontId="0" fillId="0" borderId="9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" fontId="0" fillId="0" borderId="10" xfId="0" applyNumberFormat="1" applyBorder="1"/>
    <xf numFmtId="1" fontId="0" fillId="0" borderId="11" xfId="0" applyNumberFormat="1" applyBorder="1"/>
    <xf numFmtId="1" fontId="0" fillId="0" borderId="12" xfId="0" applyNumberFormat="1" applyBorder="1"/>
    <xf numFmtId="0" fontId="0" fillId="0" borderId="1" xfId="0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1" fontId="0" fillId="0" borderId="2" xfId="0" applyNumberFormat="1" applyBorder="1"/>
    <xf numFmtId="1" fontId="0" fillId="0" borderId="3" xfId="0" applyNumberFormat="1" applyBorder="1"/>
    <xf numFmtId="1" fontId="0" fillId="0" borderId="4" xfId="0" applyNumberFormat="1" applyBorder="1"/>
    <xf numFmtId="9" fontId="0" fillId="0" borderId="0" xfId="1" applyFont="1" applyBorder="1"/>
    <xf numFmtId="0" fontId="0" fillId="0" borderId="16" xfId="0" applyBorder="1"/>
    <xf numFmtId="0" fontId="1" fillId="0" borderId="17" xfId="0" applyFont="1" applyBorder="1"/>
    <xf numFmtId="0" fontId="1" fillId="0" borderId="18" xfId="0" applyFont="1" applyBorder="1"/>
    <xf numFmtId="0" fontId="1" fillId="0" borderId="17" xfId="0" quotePrefix="1" applyFont="1" applyBorder="1" applyAlignment="1">
      <alignment horizontal="left"/>
    </xf>
    <xf numFmtId="0" fontId="1" fillId="0" borderId="19" xfId="0" applyFont="1" applyBorder="1"/>
    <xf numFmtId="0" fontId="1" fillId="0" borderId="20" xfId="0" quotePrefix="1" applyFont="1" applyBorder="1" applyAlignment="1">
      <alignment horizontal="left"/>
    </xf>
    <xf numFmtId="0" fontId="1" fillId="0" borderId="5" xfId="0" quotePrefix="1" applyFont="1" applyBorder="1" applyAlignment="1">
      <alignment horizontal="left"/>
    </xf>
    <xf numFmtId="0" fontId="1" fillId="0" borderId="5" xfId="0" quotePrefix="1" applyFont="1" applyBorder="1" applyAlignment="1">
      <alignment horizontal="right"/>
    </xf>
    <xf numFmtId="0" fontId="0" fillId="0" borderId="21" xfId="0" applyBorder="1" applyAlignment="1">
      <alignment horizontal="left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" fillId="0" borderId="1" xfId="0" quotePrefix="1" applyFont="1" applyBorder="1" applyAlignment="1">
      <alignment horizontal="right"/>
    </xf>
    <xf numFmtId="2" fontId="1" fillId="0" borderId="0" xfId="0" applyNumberFormat="1" applyFont="1"/>
    <xf numFmtId="0" fontId="0" fillId="2" borderId="0" xfId="0" applyFill="1"/>
    <xf numFmtId="0" fontId="0" fillId="0" borderId="0" xfId="1" applyNumberFormat="1" applyFont="1" applyBorder="1"/>
    <xf numFmtId="0" fontId="4" fillId="0" borderId="5" xfId="0" quotePrefix="1" applyFont="1" applyBorder="1" applyAlignment="1">
      <alignment horizontal="left"/>
    </xf>
    <xf numFmtId="0" fontId="4" fillId="0" borderId="20" xfId="0" applyFont="1" applyBorder="1"/>
    <xf numFmtId="1" fontId="0" fillId="0" borderId="23" xfId="0" applyNumberFormat="1" applyBorder="1"/>
    <xf numFmtId="1" fontId="0" fillId="0" borderId="25" xfId="0" applyNumberFormat="1" applyBorder="1"/>
    <xf numFmtId="10" fontId="0" fillId="0" borderId="0" xfId="1" applyNumberFormat="1" applyFont="1" applyBorder="1"/>
    <xf numFmtId="0" fontId="2" fillId="0" borderId="16" xfId="0" applyFont="1" applyBorder="1"/>
    <xf numFmtId="2" fontId="0" fillId="3" borderId="0" xfId="0" applyNumberFormat="1" applyFill="1"/>
    <xf numFmtId="1" fontId="1" fillId="3" borderId="8" xfId="0" applyNumberFormat="1" applyFont="1" applyFill="1" applyBorder="1"/>
    <xf numFmtId="10" fontId="1" fillId="3" borderId="0" xfId="1" applyNumberFormat="1" applyFont="1" applyFill="1" applyBorder="1"/>
    <xf numFmtId="0" fontId="0" fillId="4" borderId="0" xfId="0" applyFill="1"/>
    <xf numFmtId="0" fontId="0" fillId="4" borderId="0" xfId="0" quotePrefix="1" applyFill="1" applyAlignment="1">
      <alignment horizontal="left"/>
    </xf>
    <xf numFmtId="0" fontId="0" fillId="4" borderId="3" xfId="0" applyFill="1" applyBorder="1"/>
    <xf numFmtId="0" fontId="0" fillId="4" borderId="8" xfId="0" applyFill="1" applyBorder="1"/>
    <xf numFmtId="1" fontId="0" fillId="4" borderId="0" xfId="0" applyNumberFormat="1" applyFill="1"/>
    <xf numFmtId="1" fontId="0" fillId="4" borderId="11" xfId="0" applyNumberFormat="1" applyFill="1" applyBorder="1"/>
    <xf numFmtId="0" fontId="0" fillId="4" borderId="14" xfId="0" applyFill="1" applyBorder="1"/>
    <xf numFmtId="0" fontId="0" fillId="4" borderId="23" xfId="0" applyFill="1" applyBorder="1"/>
    <xf numFmtId="1" fontId="0" fillId="4" borderId="23" xfId="0" applyNumberFormat="1" applyFill="1" applyBorder="1"/>
    <xf numFmtId="1" fontId="0" fillId="4" borderId="3" xfId="0" applyNumberFormat="1" applyFill="1" applyBorder="1"/>
    <xf numFmtId="1" fontId="0" fillId="4" borderId="8" xfId="0" applyNumberFormat="1" applyFill="1" applyBorder="1"/>
    <xf numFmtId="164" fontId="0" fillId="4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D190"/>
  <sheetViews>
    <sheetView tabSelected="1" zoomScale="115" zoomScaleNormal="115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G5" sqref="G5"/>
    </sheetView>
  </sheetViews>
  <sheetFormatPr defaultRowHeight="13.2" x14ac:dyDescent="0.25"/>
  <cols>
    <col min="1" max="1" width="32.33203125" customWidth="1"/>
    <col min="2" max="2" width="12.88671875" customWidth="1"/>
    <col min="9" max="9" width="8.88671875" style="59"/>
    <col min="21" max="21" width="9.6640625" customWidth="1"/>
  </cols>
  <sheetData>
    <row r="1" spans="1:41" x14ac:dyDescent="0.25">
      <c r="A1" s="50" t="s">
        <v>100</v>
      </c>
      <c r="B1" s="47">
        <v>141.23958734549498</v>
      </c>
      <c r="C1" s="1" t="s">
        <v>0</v>
      </c>
      <c r="D1" s="34"/>
      <c r="E1" t="s">
        <v>1</v>
      </c>
      <c r="G1" s="33">
        <v>0.9</v>
      </c>
      <c r="H1" s="34"/>
      <c r="I1" s="59" t="s">
        <v>2</v>
      </c>
      <c r="K1">
        <v>7</v>
      </c>
      <c r="L1" s="34" t="s">
        <v>3</v>
      </c>
      <c r="M1" t="s">
        <v>4</v>
      </c>
      <c r="N1" s="33">
        <v>0.7</v>
      </c>
      <c r="O1" s="34"/>
      <c r="P1" t="s">
        <v>5</v>
      </c>
      <c r="R1" s="33">
        <v>0.05</v>
      </c>
      <c r="S1" s="34"/>
      <c r="T1" t="s">
        <v>6</v>
      </c>
      <c r="V1">
        <v>10</v>
      </c>
      <c r="W1" s="14" t="s">
        <v>3</v>
      </c>
    </row>
    <row r="2" spans="1:41" x14ac:dyDescent="0.25">
      <c r="A2" s="41" t="s">
        <v>103</v>
      </c>
      <c r="B2" s="47">
        <v>10</v>
      </c>
      <c r="C2" s="1" t="s">
        <v>105</v>
      </c>
      <c r="D2" s="34"/>
      <c r="E2" t="s">
        <v>98</v>
      </c>
      <c r="G2" s="49">
        <v>9</v>
      </c>
      <c r="H2" s="34" t="s">
        <v>99</v>
      </c>
      <c r="I2" s="59" t="s">
        <v>7</v>
      </c>
      <c r="K2" s="49">
        <v>10</v>
      </c>
      <c r="L2" s="34" t="s">
        <v>13</v>
      </c>
      <c r="M2" t="s">
        <v>8</v>
      </c>
      <c r="N2" s="33">
        <v>0.7</v>
      </c>
      <c r="O2" s="34"/>
      <c r="P2" t="s">
        <v>9</v>
      </c>
      <c r="R2" s="33">
        <v>0.05</v>
      </c>
      <c r="S2" s="34"/>
      <c r="T2" t="s">
        <v>10</v>
      </c>
      <c r="V2">
        <v>10</v>
      </c>
      <c r="W2" s="14" t="s">
        <v>3</v>
      </c>
    </row>
    <row r="3" spans="1:41" x14ac:dyDescent="0.25">
      <c r="A3" s="41" t="s">
        <v>104</v>
      </c>
      <c r="B3" s="47"/>
      <c r="C3" s="1" t="s">
        <v>105</v>
      </c>
      <c r="D3" s="34"/>
      <c r="E3" t="s">
        <v>11</v>
      </c>
      <c r="G3" s="56">
        <f>1+G5/(NPV(N4,E61:AM61))</f>
        <v>1.0000000000000002</v>
      </c>
      <c r="H3" s="34"/>
      <c r="I3" s="59" t="s">
        <v>12</v>
      </c>
      <c r="K3">
        <v>15</v>
      </c>
      <c r="L3" s="34" t="s">
        <v>13</v>
      </c>
      <c r="M3" t="s">
        <v>14</v>
      </c>
      <c r="N3" s="33">
        <v>0.34</v>
      </c>
      <c r="O3" s="34"/>
      <c r="P3" t="s">
        <v>15</v>
      </c>
      <c r="R3" s="33">
        <v>0.05</v>
      </c>
      <c r="S3" s="34"/>
      <c r="T3" t="s">
        <v>16</v>
      </c>
      <c r="V3">
        <v>6000</v>
      </c>
      <c r="W3" s="14" t="s">
        <v>17</v>
      </c>
    </row>
    <row r="4" spans="1:41" x14ac:dyDescent="0.25">
      <c r="A4" s="40"/>
      <c r="B4" s="47"/>
      <c r="C4" s="1"/>
      <c r="D4" s="34"/>
      <c r="E4" t="s">
        <v>18</v>
      </c>
      <c r="G4" s="33">
        <v>0.25</v>
      </c>
      <c r="H4" s="34"/>
      <c r="I4" s="60" t="s">
        <v>19</v>
      </c>
      <c r="K4" s="33">
        <v>0.3</v>
      </c>
      <c r="L4" s="34"/>
      <c r="M4" t="s">
        <v>20</v>
      </c>
      <c r="N4" s="33">
        <v>0.1</v>
      </c>
      <c r="O4" s="34"/>
      <c r="P4" t="s">
        <v>21</v>
      </c>
      <c r="R4" s="33">
        <v>0.05</v>
      </c>
      <c r="S4" s="34"/>
      <c r="T4" t="s">
        <v>22</v>
      </c>
      <c r="V4">
        <v>6000</v>
      </c>
      <c r="W4" s="14" t="s">
        <v>17</v>
      </c>
    </row>
    <row r="5" spans="1:41" ht="13.8" thickBot="1" x14ac:dyDescent="0.3">
      <c r="A5" s="40" t="s">
        <v>108</v>
      </c>
      <c r="B5" s="58">
        <f>IRR($E$67:AM67,0.1)</f>
        <v>0.10045276461153363</v>
      </c>
      <c r="C5" s="1"/>
      <c r="D5" s="34"/>
      <c r="E5" s="1" t="s">
        <v>23</v>
      </c>
      <c r="G5" s="57">
        <f>NPV($N$4,$E$67:$AO$67)</f>
        <v>8.3133500083931722E-12</v>
      </c>
      <c r="H5" s="34"/>
      <c r="I5" s="59" t="s">
        <v>24</v>
      </c>
      <c r="K5" s="54">
        <f>2/K1</f>
        <v>0.2857142857142857</v>
      </c>
      <c r="L5" s="55" t="s">
        <v>106</v>
      </c>
      <c r="O5" s="34"/>
      <c r="S5" s="34"/>
      <c r="T5" t="s">
        <v>25</v>
      </c>
      <c r="V5">
        <v>6000</v>
      </c>
      <c r="W5" s="14" t="s">
        <v>17</v>
      </c>
    </row>
    <row r="6" spans="1:41" x14ac:dyDescent="0.25">
      <c r="A6" s="39" t="s">
        <v>26</v>
      </c>
      <c r="B6" s="10">
        <v>0</v>
      </c>
      <c r="C6" s="10">
        <v>0</v>
      </c>
      <c r="D6" s="10">
        <v>0</v>
      </c>
      <c r="E6" s="11">
        <f t="shared" ref="E6:S6" si="0">+D6+1</f>
        <v>1</v>
      </c>
      <c r="F6" s="11">
        <f t="shared" si="0"/>
        <v>2</v>
      </c>
      <c r="G6" s="11">
        <f t="shared" si="0"/>
        <v>3</v>
      </c>
      <c r="H6" s="11">
        <f t="shared" si="0"/>
        <v>4</v>
      </c>
      <c r="I6" s="61">
        <f t="shared" si="0"/>
        <v>5</v>
      </c>
      <c r="J6" s="11">
        <f t="shared" si="0"/>
        <v>6</v>
      </c>
      <c r="K6" s="11">
        <f t="shared" si="0"/>
        <v>7</v>
      </c>
      <c r="L6" s="11">
        <f t="shared" si="0"/>
        <v>8</v>
      </c>
      <c r="M6" s="11">
        <f t="shared" si="0"/>
        <v>9</v>
      </c>
      <c r="N6" s="11">
        <f t="shared" si="0"/>
        <v>10</v>
      </c>
      <c r="O6" s="11">
        <f t="shared" si="0"/>
        <v>11</v>
      </c>
      <c r="P6" s="11">
        <f t="shared" si="0"/>
        <v>12</v>
      </c>
      <c r="Q6" s="11">
        <f t="shared" si="0"/>
        <v>13</v>
      </c>
      <c r="R6" s="11">
        <f t="shared" si="0"/>
        <v>14</v>
      </c>
      <c r="S6" s="11">
        <f t="shared" si="0"/>
        <v>15</v>
      </c>
      <c r="T6" s="11">
        <f t="shared" ref="T6:AI6" si="1">+S6+1</f>
        <v>16</v>
      </c>
      <c r="U6" s="11">
        <f t="shared" si="1"/>
        <v>17</v>
      </c>
      <c r="V6" s="11">
        <f t="shared" si="1"/>
        <v>18</v>
      </c>
      <c r="W6" s="11">
        <f t="shared" si="1"/>
        <v>19</v>
      </c>
      <c r="X6" s="11">
        <f t="shared" si="1"/>
        <v>20</v>
      </c>
      <c r="Y6" s="11">
        <f t="shared" si="1"/>
        <v>21</v>
      </c>
      <c r="Z6" s="11">
        <f t="shared" si="1"/>
        <v>22</v>
      </c>
      <c r="AA6" s="11">
        <f t="shared" si="1"/>
        <v>23</v>
      </c>
      <c r="AB6" s="11">
        <f t="shared" si="1"/>
        <v>24</v>
      </c>
      <c r="AC6" s="11">
        <f t="shared" si="1"/>
        <v>25</v>
      </c>
      <c r="AD6" s="11">
        <f t="shared" si="1"/>
        <v>26</v>
      </c>
      <c r="AE6" s="11">
        <f t="shared" si="1"/>
        <v>27</v>
      </c>
      <c r="AF6" s="11">
        <f t="shared" si="1"/>
        <v>28</v>
      </c>
      <c r="AG6" s="11">
        <f t="shared" si="1"/>
        <v>29</v>
      </c>
      <c r="AH6" s="11">
        <f t="shared" si="1"/>
        <v>30</v>
      </c>
      <c r="AI6" s="11">
        <f t="shared" si="1"/>
        <v>31</v>
      </c>
      <c r="AJ6" s="11">
        <f t="shared" ref="AJ6:AO6" si="2">+AI6+1</f>
        <v>32</v>
      </c>
      <c r="AK6" s="11">
        <f t="shared" si="2"/>
        <v>33</v>
      </c>
      <c r="AL6" s="11">
        <f t="shared" si="2"/>
        <v>34</v>
      </c>
      <c r="AM6" s="11">
        <f t="shared" si="2"/>
        <v>35</v>
      </c>
      <c r="AN6" s="11">
        <f t="shared" si="2"/>
        <v>36</v>
      </c>
      <c r="AO6" s="12">
        <f t="shared" si="2"/>
        <v>37</v>
      </c>
    </row>
    <row r="7" spans="1:41" ht="13.8" thickBot="1" x14ac:dyDescent="0.3">
      <c r="A7" s="38" t="s">
        <v>27</v>
      </c>
      <c r="B7" s="20"/>
      <c r="C7" s="21"/>
      <c r="D7" s="21"/>
      <c r="E7" s="21"/>
      <c r="F7" s="21"/>
      <c r="G7" s="21"/>
      <c r="H7" s="21"/>
      <c r="I7" s="62">
        <v>1</v>
      </c>
      <c r="J7" s="21">
        <f t="shared" ref="J7:S7" si="3">+I7+1</f>
        <v>2</v>
      </c>
      <c r="K7" s="21">
        <f t="shared" si="3"/>
        <v>3</v>
      </c>
      <c r="L7" s="21">
        <f t="shared" si="3"/>
        <v>4</v>
      </c>
      <c r="M7" s="21">
        <f t="shared" si="3"/>
        <v>5</v>
      </c>
      <c r="N7" s="21">
        <f t="shared" si="3"/>
        <v>6</v>
      </c>
      <c r="O7" s="21">
        <f t="shared" si="3"/>
        <v>7</v>
      </c>
      <c r="P7" s="21">
        <f t="shared" si="3"/>
        <v>8</v>
      </c>
      <c r="Q7" s="21">
        <f t="shared" si="3"/>
        <v>9</v>
      </c>
      <c r="R7" s="21">
        <f t="shared" si="3"/>
        <v>10</v>
      </c>
      <c r="S7" s="21">
        <f t="shared" si="3"/>
        <v>11</v>
      </c>
      <c r="T7" s="21">
        <f t="shared" ref="T7:AC7" si="4">+S7+1</f>
        <v>12</v>
      </c>
      <c r="U7" s="21">
        <f t="shared" si="4"/>
        <v>13</v>
      </c>
      <c r="V7" s="21">
        <f t="shared" si="4"/>
        <v>14</v>
      </c>
      <c r="W7" s="21">
        <f t="shared" si="4"/>
        <v>15</v>
      </c>
      <c r="X7" s="21">
        <f t="shared" si="4"/>
        <v>16</v>
      </c>
      <c r="Y7" s="21">
        <f t="shared" si="4"/>
        <v>17</v>
      </c>
      <c r="Z7" s="21">
        <f t="shared" si="4"/>
        <v>18</v>
      </c>
      <c r="AA7" s="21">
        <f t="shared" si="4"/>
        <v>19</v>
      </c>
      <c r="AB7" s="21">
        <f t="shared" si="4"/>
        <v>20</v>
      </c>
      <c r="AC7" s="21">
        <f t="shared" si="4"/>
        <v>21</v>
      </c>
      <c r="AD7" s="21">
        <f t="shared" ref="AD7:AO7" si="5">+AC7+1</f>
        <v>22</v>
      </c>
      <c r="AE7" s="21">
        <f t="shared" si="5"/>
        <v>23</v>
      </c>
      <c r="AF7" s="21">
        <f t="shared" si="5"/>
        <v>24</v>
      </c>
      <c r="AG7" s="21">
        <f t="shared" si="5"/>
        <v>25</v>
      </c>
      <c r="AH7" s="21">
        <f t="shared" si="5"/>
        <v>26</v>
      </c>
      <c r="AI7" s="21">
        <f t="shared" si="5"/>
        <v>27</v>
      </c>
      <c r="AJ7" s="21">
        <f t="shared" si="5"/>
        <v>28</v>
      </c>
      <c r="AK7" s="21">
        <f t="shared" si="5"/>
        <v>29</v>
      </c>
      <c r="AL7" s="21">
        <f t="shared" si="5"/>
        <v>30</v>
      </c>
      <c r="AM7" s="21">
        <f t="shared" si="5"/>
        <v>31</v>
      </c>
      <c r="AN7" s="21">
        <f t="shared" si="5"/>
        <v>32</v>
      </c>
      <c r="AO7" s="22">
        <f t="shared" si="5"/>
        <v>33</v>
      </c>
    </row>
    <row r="8" spans="1:41" x14ac:dyDescent="0.25">
      <c r="A8" s="46" t="s">
        <v>28</v>
      </c>
      <c r="B8" s="13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s="63">
        <f>$G$1*8.76*$B$2*0.25</f>
        <v>19.71</v>
      </c>
      <c r="J8" s="2">
        <f>$G$1*8.76*$B$2</f>
        <v>78.84</v>
      </c>
      <c r="K8" s="2">
        <f t="shared" ref="K8:AO8" si="6">$G$1*8.76*$B$2</f>
        <v>78.84</v>
      </c>
      <c r="L8" s="2">
        <f t="shared" si="6"/>
        <v>78.84</v>
      </c>
      <c r="M8" s="2">
        <f t="shared" si="6"/>
        <v>78.84</v>
      </c>
      <c r="N8" s="2">
        <f t="shared" si="6"/>
        <v>78.84</v>
      </c>
      <c r="O8" s="2">
        <f t="shared" si="6"/>
        <v>78.84</v>
      </c>
      <c r="P8" s="2">
        <f t="shared" si="6"/>
        <v>78.84</v>
      </c>
      <c r="Q8" s="2">
        <f t="shared" si="6"/>
        <v>78.84</v>
      </c>
      <c r="R8" s="2">
        <f t="shared" si="6"/>
        <v>78.84</v>
      </c>
      <c r="S8" s="2">
        <f t="shared" si="6"/>
        <v>78.84</v>
      </c>
      <c r="T8" s="2">
        <f t="shared" si="6"/>
        <v>78.84</v>
      </c>
      <c r="U8" s="2">
        <f t="shared" si="6"/>
        <v>78.84</v>
      </c>
      <c r="V8" s="2">
        <f t="shared" si="6"/>
        <v>78.84</v>
      </c>
      <c r="W8" s="2">
        <f t="shared" si="6"/>
        <v>78.84</v>
      </c>
      <c r="X8" s="2">
        <f t="shared" si="6"/>
        <v>78.84</v>
      </c>
      <c r="Y8" s="2">
        <f t="shared" si="6"/>
        <v>78.84</v>
      </c>
      <c r="Z8" s="2">
        <f t="shared" si="6"/>
        <v>78.84</v>
      </c>
      <c r="AA8" s="2">
        <f t="shared" si="6"/>
        <v>78.84</v>
      </c>
      <c r="AB8" s="2">
        <f t="shared" si="6"/>
        <v>78.84</v>
      </c>
      <c r="AC8" s="2">
        <f t="shared" si="6"/>
        <v>78.84</v>
      </c>
      <c r="AD8" s="2">
        <f t="shared" si="6"/>
        <v>78.84</v>
      </c>
      <c r="AE8" s="2">
        <f t="shared" si="6"/>
        <v>78.84</v>
      </c>
      <c r="AF8" s="2">
        <f t="shared" si="6"/>
        <v>78.84</v>
      </c>
      <c r="AG8" s="2">
        <f t="shared" si="6"/>
        <v>78.84</v>
      </c>
      <c r="AH8" s="2">
        <f t="shared" si="6"/>
        <v>78.84</v>
      </c>
      <c r="AI8" s="2">
        <f t="shared" si="6"/>
        <v>78.84</v>
      </c>
      <c r="AJ8" s="2">
        <f t="shared" si="6"/>
        <v>78.84</v>
      </c>
      <c r="AK8" s="2">
        <f t="shared" si="6"/>
        <v>78.84</v>
      </c>
      <c r="AL8" s="2">
        <f t="shared" si="6"/>
        <v>78.84</v>
      </c>
      <c r="AM8" s="2">
        <f t="shared" si="6"/>
        <v>78.84</v>
      </c>
      <c r="AN8" s="2">
        <f t="shared" si="6"/>
        <v>78.84</v>
      </c>
      <c r="AO8" s="2">
        <f t="shared" si="6"/>
        <v>78.84</v>
      </c>
    </row>
    <row r="9" spans="1:41" x14ac:dyDescent="0.25">
      <c r="A9" s="46" t="s">
        <v>29</v>
      </c>
      <c r="B9" s="13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s="63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</row>
    <row r="10" spans="1:41" x14ac:dyDescent="0.25">
      <c r="A10" s="46" t="s">
        <v>30</v>
      </c>
      <c r="B10" s="13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s="59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s="15">
        <v>0</v>
      </c>
    </row>
    <row r="11" spans="1:41" x14ac:dyDescent="0.25">
      <c r="A11" s="46" t="s">
        <v>31</v>
      </c>
      <c r="B11" s="13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s="59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s="14"/>
    </row>
    <row r="12" spans="1:41" ht="13.8" thickBot="1" x14ac:dyDescent="0.3">
      <c r="A12" s="35" t="s">
        <v>32</v>
      </c>
      <c r="B12" s="23">
        <f>SUM(B8:B11)</f>
        <v>0</v>
      </c>
      <c r="C12" s="24">
        <f t="shared" ref="C12:R12" si="7">SUM(C8:C11)</f>
        <v>0</v>
      </c>
      <c r="D12" s="24">
        <f t="shared" si="7"/>
        <v>0</v>
      </c>
      <c r="E12" s="24">
        <f t="shared" si="7"/>
        <v>0</v>
      </c>
      <c r="F12" s="24">
        <f t="shared" si="7"/>
        <v>0</v>
      </c>
      <c r="G12" s="24">
        <f t="shared" si="7"/>
        <v>0</v>
      </c>
      <c r="H12" s="24">
        <f t="shared" si="7"/>
        <v>0</v>
      </c>
      <c r="I12" s="64">
        <f t="shared" si="7"/>
        <v>19.71</v>
      </c>
      <c r="J12" s="24">
        <f t="shared" si="7"/>
        <v>78.84</v>
      </c>
      <c r="K12" s="24">
        <f t="shared" si="7"/>
        <v>78.84</v>
      </c>
      <c r="L12" s="24">
        <f t="shared" si="7"/>
        <v>78.84</v>
      </c>
      <c r="M12" s="24">
        <f t="shared" si="7"/>
        <v>78.84</v>
      </c>
      <c r="N12" s="24">
        <f t="shared" si="7"/>
        <v>78.84</v>
      </c>
      <c r="O12" s="24">
        <f t="shared" si="7"/>
        <v>78.84</v>
      </c>
      <c r="P12" s="24">
        <f t="shared" si="7"/>
        <v>78.84</v>
      </c>
      <c r="Q12" s="24">
        <f t="shared" si="7"/>
        <v>78.84</v>
      </c>
      <c r="R12" s="24">
        <f t="shared" si="7"/>
        <v>78.84</v>
      </c>
      <c r="S12" s="24">
        <f t="shared" ref="S12:AH12" si="8">SUM(S8:S11)</f>
        <v>78.84</v>
      </c>
      <c r="T12" s="24">
        <f t="shared" si="8"/>
        <v>78.84</v>
      </c>
      <c r="U12" s="24">
        <f t="shared" si="8"/>
        <v>78.84</v>
      </c>
      <c r="V12" s="24">
        <f t="shared" si="8"/>
        <v>78.84</v>
      </c>
      <c r="W12" s="24">
        <f t="shared" si="8"/>
        <v>78.84</v>
      </c>
      <c r="X12" s="24">
        <f t="shared" si="8"/>
        <v>78.84</v>
      </c>
      <c r="Y12" s="24">
        <f t="shared" si="8"/>
        <v>78.84</v>
      </c>
      <c r="Z12" s="24">
        <f t="shared" si="8"/>
        <v>78.84</v>
      </c>
      <c r="AA12" s="24">
        <f t="shared" si="8"/>
        <v>78.84</v>
      </c>
      <c r="AB12" s="24">
        <f t="shared" si="8"/>
        <v>78.84</v>
      </c>
      <c r="AC12" s="24">
        <f t="shared" si="8"/>
        <v>78.84</v>
      </c>
      <c r="AD12" s="24">
        <f t="shared" si="8"/>
        <v>78.84</v>
      </c>
      <c r="AE12" s="24">
        <f t="shared" si="8"/>
        <v>78.84</v>
      </c>
      <c r="AF12" s="24">
        <f t="shared" si="8"/>
        <v>78.84</v>
      </c>
      <c r="AG12" s="24">
        <f t="shared" si="8"/>
        <v>78.84</v>
      </c>
      <c r="AH12" s="24">
        <f t="shared" si="8"/>
        <v>78.84</v>
      </c>
      <c r="AI12" s="24">
        <f t="shared" ref="AI12:AO12" si="9">SUM(AI8:AI11)</f>
        <v>78.84</v>
      </c>
      <c r="AJ12" s="24">
        <f t="shared" si="9"/>
        <v>78.84</v>
      </c>
      <c r="AK12" s="24">
        <f t="shared" si="9"/>
        <v>78.84</v>
      </c>
      <c r="AL12" s="24">
        <f t="shared" si="9"/>
        <v>78.84</v>
      </c>
      <c r="AM12" s="24">
        <f t="shared" si="9"/>
        <v>78.84</v>
      </c>
      <c r="AN12" s="24">
        <f t="shared" si="9"/>
        <v>78.84</v>
      </c>
      <c r="AO12" s="25">
        <f t="shared" si="9"/>
        <v>78.84</v>
      </c>
    </row>
    <row r="13" spans="1:41" x14ac:dyDescent="0.25">
      <c r="A13" s="46" t="s">
        <v>33</v>
      </c>
      <c r="B13" s="16">
        <f t="shared" ref="B13:AM13" si="10">$B$1*B8</f>
        <v>0</v>
      </c>
      <c r="C13" s="2">
        <f t="shared" si="10"/>
        <v>0</v>
      </c>
      <c r="D13" s="2">
        <f t="shared" si="10"/>
        <v>0</v>
      </c>
      <c r="E13" s="2">
        <f t="shared" si="10"/>
        <v>0</v>
      </c>
      <c r="F13" s="2">
        <f t="shared" si="10"/>
        <v>0</v>
      </c>
      <c r="G13" s="2">
        <f t="shared" si="10"/>
        <v>0</v>
      </c>
      <c r="H13" s="2">
        <f t="shared" si="10"/>
        <v>0</v>
      </c>
      <c r="I13" s="63">
        <f>$B$1*I8</f>
        <v>2783.8322665797064</v>
      </c>
      <c r="J13" s="2">
        <f t="shared" si="10"/>
        <v>11135.329066318825</v>
      </c>
      <c r="K13" s="2">
        <f t="shared" si="10"/>
        <v>11135.329066318825</v>
      </c>
      <c r="L13" s="2">
        <f t="shared" si="10"/>
        <v>11135.329066318825</v>
      </c>
      <c r="M13" s="2">
        <f t="shared" si="10"/>
        <v>11135.329066318825</v>
      </c>
      <c r="N13" s="2">
        <f t="shared" si="10"/>
        <v>11135.329066318825</v>
      </c>
      <c r="O13" s="2">
        <f t="shared" si="10"/>
        <v>11135.329066318825</v>
      </c>
      <c r="P13" s="2">
        <f t="shared" si="10"/>
        <v>11135.329066318825</v>
      </c>
      <c r="Q13" s="2">
        <f t="shared" si="10"/>
        <v>11135.329066318825</v>
      </c>
      <c r="R13" s="2">
        <f t="shared" si="10"/>
        <v>11135.329066318825</v>
      </c>
      <c r="S13" s="2">
        <f t="shared" si="10"/>
        <v>11135.329066318825</v>
      </c>
      <c r="T13" s="2">
        <f t="shared" si="10"/>
        <v>11135.329066318825</v>
      </c>
      <c r="U13" s="2">
        <f t="shared" si="10"/>
        <v>11135.329066318825</v>
      </c>
      <c r="V13" s="2">
        <f t="shared" si="10"/>
        <v>11135.329066318825</v>
      </c>
      <c r="W13" s="2">
        <f t="shared" si="10"/>
        <v>11135.329066318825</v>
      </c>
      <c r="X13" s="2">
        <f t="shared" si="10"/>
        <v>11135.329066318825</v>
      </c>
      <c r="Y13" s="2">
        <f t="shared" si="10"/>
        <v>11135.329066318825</v>
      </c>
      <c r="Z13" s="2">
        <f t="shared" si="10"/>
        <v>11135.329066318825</v>
      </c>
      <c r="AA13" s="2">
        <f t="shared" si="10"/>
        <v>11135.329066318825</v>
      </c>
      <c r="AB13" s="2">
        <f t="shared" si="10"/>
        <v>11135.329066318825</v>
      </c>
      <c r="AC13" s="2">
        <f t="shared" si="10"/>
        <v>11135.329066318825</v>
      </c>
      <c r="AD13" s="2">
        <f t="shared" si="10"/>
        <v>11135.329066318825</v>
      </c>
      <c r="AE13" s="2">
        <f t="shared" si="10"/>
        <v>11135.329066318825</v>
      </c>
      <c r="AF13" s="2">
        <f t="shared" si="10"/>
        <v>11135.329066318825</v>
      </c>
      <c r="AG13" s="2">
        <f t="shared" si="10"/>
        <v>11135.329066318825</v>
      </c>
      <c r="AH13" s="2">
        <f t="shared" si="10"/>
        <v>11135.329066318825</v>
      </c>
      <c r="AI13" s="2">
        <f t="shared" si="10"/>
        <v>11135.329066318825</v>
      </c>
      <c r="AJ13" s="2">
        <f t="shared" si="10"/>
        <v>11135.329066318825</v>
      </c>
      <c r="AK13" s="2">
        <f t="shared" si="10"/>
        <v>11135.329066318825</v>
      </c>
      <c r="AL13" s="2">
        <f t="shared" si="10"/>
        <v>11135.329066318825</v>
      </c>
      <c r="AM13" s="2">
        <f t="shared" si="10"/>
        <v>11135.329066318825</v>
      </c>
      <c r="AO13" s="14"/>
    </row>
    <row r="14" spans="1:41" x14ac:dyDescent="0.25">
      <c r="A14" s="46" t="s">
        <v>29</v>
      </c>
      <c r="B14" s="16">
        <f t="shared" ref="B14:K14" si="11">$B$1*B9</f>
        <v>0</v>
      </c>
      <c r="C14" s="2">
        <f t="shared" si="11"/>
        <v>0</v>
      </c>
      <c r="D14" s="2">
        <f t="shared" si="11"/>
        <v>0</v>
      </c>
      <c r="E14" s="2">
        <f t="shared" si="11"/>
        <v>0</v>
      </c>
      <c r="F14" s="2">
        <f t="shared" si="11"/>
        <v>0</v>
      </c>
      <c r="G14" s="2">
        <f t="shared" si="11"/>
        <v>0</v>
      </c>
      <c r="H14" s="2">
        <f t="shared" si="11"/>
        <v>0</v>
      </c>
      <c r="I14" s="63">
        <f t="shared" si="11"/>
        <v>0</v>
      </c>
      <c r="J14" s="2">
        <f t="shared" si="11"/>
        <v>0</v>
      </c>
      <c r="K14" s="2">
        <f t="shared" si="11"/>
        <v>0</v>
      </c>
      <c r="L14" s="2">
        <f t="shared" ref="L14:W14" si="12">$B$1*L9</f>
        <v>0</v>
      </c>
      <c r="M14" s="2">
        <f t="shared" si="12"/>
        <v>0</v>
      </c>
      <c r="N14" s="2">
        <f t="shared" si="12"/>
        <v>0</v>
      </c>
      <c r="O14" s="2">
        <f t="shared" si="12"/>
        <v>0</v>
      </c>
      <c r="P14" s="2">
        <f t="shared" si="12"/>
        <v>0</v>
      </c>
      <c r="Q14" s="2">
        <f t="shared" si="12"/>
        <v>0</v>
      </c>
      <c r="R14" s="2">
        <f t="shared" si="12"/>
        <v>0</v>
      </c>
      <c r="S14" s="2">
        <f t="shared" si="12"/>
        <v>0</v>
      </c>
      <c r="T14" s="2">
        <f t="shared" si="12"/>
        <v>0</v>
      </c>
      <c r="U14" s="2">
        <f t="shared" si="12"/>
        <v>0</v>
      </c>
      <c r="V14" s="2">
        <f t="shared" si="12"/>
        <v>0</v>
      </c>
      <c r="W14" s="2">
        <f t="shared" si="12"/>
        <v>0</v>
      </c>
      <c r="X14" s="2">
        <f>$B$1*X9*0.75+$B$2*X9*0.25</f>
        <v>0</v>
      </c>
      <c r="Y14" s="2">
        <f t="shared" ref="Y14:AF14" si="13">$B$2*Y9</f>
        <v>0</v>
      </c>
      <c r="Z14" s="2">
        <f t="shared" si="13"/>
        <v>0</v>
      </c>
      <c r="AA14" s="2">
        <f t="shared" si="13"/>
        <v>0</v>
      </c>
      <c r="AB14" s="2">
        <f t="shared" si="13"/>
        <v>0</v>
      </c>
      <c r="AC14" s="2">
        <f t="shared" si="13"/>
        <v>0</v>
      </c>
      <c r="AD14" s="2">
        <f t="shared" si="13"/>
        <v>0</v>
      </c>
      <c r="AE14" s="2">
        <f t="shared" si="13"/>
        <v>0</v>
      </c>
      <c r="AF14" s="2">
        <f t="shared" si="13"/>
        <v>0</v>
      </c>
      <c r="AG14" s="2">
        <f>$B$2*AG9*0.75+$B$3*AG9*0.25</f>
        <v>0</v>
      </c>
      <c r="AH14" s="2">
        <f t="shared" ref="AH14:AN14" si="14">$B$3*AH9</f>
        <v>0</v>
      </c>
      <c r="AI14" s="2">
        <f t="shared" si="14"/>
        <v>0</v>
      </c>
      <c r="AJ14" s="2">
        <f t="shared" si="14"/>
        <v>0</v>
      </c>
      <c r="AK14" s="2">
        <f t="shared" si="14"/>
        <v>0</v>
      </c>
      <c r="AL14" s="2">
        <f t="shared" si="14"/>
        <v>0</v>
      </c>
      <c r="AM14" s="2">
        <f t="shared" si="14"/>
        <v>0</v>
      </c>
      <c r="AN14" s="2">
        <f t="shared" si="14"/>
        <v>0</v>
      </c>
      <c r="AO14" s="14"/>
    </row>
    <row r="15" spans="1:41" x14ac:dyDescent="0.25">
      <c r="A15" s="46" t="s">
        <v>30</v>
      </c>
      <c r="B15" s="16">
        <f t="shared" ref="B15:K15" si="15">$B$1*B10</f>
        <v>0</v>
      </c>
      <c r="C15" s="2">
        <f t="shared" si="15"/>
        <v>0</v>
      </c>
      <c r="D15" s="2">
        <f t="shared" si="15"/>
        <v>0</v>
      </c>
      <c r="E15" s="2">
        <f t="shared" si="15"/>
        <v>0</v>
      </c>
      <c r="F15" s="2">
        <f t="shared" si="15"/>
        <v>0</v>
      </c>
      <c r="G15" s="2">
        <f t="shared" si="15"/>
        <v>0</v>
      </c>
      <c r="H15" s="2">
        <f t="shared" si="15"/>
        <v>0</v>
      </c>
      <c r="I15" s="63">
        <f t="shared" si="15"/>
        <v>0</v>
      </c>
      <c r="J15" s="2">
        <f t="shared" si="15"/>
        <v>0</v>
      </c>
      <c r="K15" s="2">
        <f t="shared" si="15"/>
        <v>0</v>
      </c>
      <c r="L15" s="2">
        <f t="shared" ref="L15:V15" si="16">$B$1*L10</f>
        <v>0</v>
      </c>
      <c r="M15" s="2">
        <f t="shared" si="16"/>
        <v>0</v>
      </c>
      <c r="N15" s="2">
        <f t="shared" si="16"/>
        <v>0</v>
      </c>
      <c r="O15" s="2">
        <f t="shared" si="16"/>
        <v>0</v>
      </c>
      <c r="P15" s="2">
        <f t="shared" si="16"/>
        <v>0</v>
      </c>
      <c r="Q15" s="2">
        <f t="shared" si="16"/>
        <v>0</v>
      </c>
      <c r="R15" s="2">
        <f t="shared" si="16"/>
        <v>0</v>
      </c>
      <c r="S15" s="2">
        <f t="shared" si="16"/>
        <v>0</v>
      </c>
      <c r="T15" s="2">
        <f t="shared" si="16"/>
        <v>0</v>
      </c>
      <c r="U15" s="2">
        <f t="shared" si="16"/>
        <v>0</v>
      </c>
      <c r="V15" s="2">
        <f t="shared" si="16"/>
        <v>0</v>
      </c>
      <c r="W15" s="2">
        <f>$B$1*W10</f>
        <v>0</v>
      </c>
      <c r="X15" s="2">
        <f>$B$1*X10</f>
        <v>0</v>
      </c>
      <c r="Y15" s="2">
        <f t="shared" ref="Y15:AG15" si="17">$B$2*Y10</f>
        <v>0</v>
      </c>
      <c r="Z15" s="2">
        <f t="shared" si="17"/>
        <v>0</v>
      </c>
      <c r="AA15" s="2">
        <f t="shared" si="17"/>
        <v>0</v>
      </c>
      <c r="AB15" s="2">
        <f t="shared" si="17"/>
        <v>0</v>
      </c>
      <c r="AC15" s="2">
        <f t="shared" si="17"/>
        <v>0</v>
      </c>
      <c r="AD15" s="2">
        <f t="shared" si="17"/>
        <v>0</v>
      </c>
      <c r="AE15" s="2">
        <f t="shared" si="17"/>
        <v>0</v>
      </c>
      <c r="AF15" s="2">
        <f t="shared" si="17"/>
        <v>0</v>
      </c>
      <c r="AG15" s="2">
        <f t="shared" si="17"/>
        <v>0</v>
      </c>
      <c r="AH15" s="2">
        <f t="shared" ref="AH15:AO15" si="18">$B$3*AH10</f>
        <v>0</v>
      </c>
      <c r="AI15" s="2">
        <f t="shared" si="18"/>
        <v>0</v>
      </c>
      <c r="AJ15" s="2">
        <f t="shared" si="18"/>
        <v>0</v>
      </c>
      <c r="AK15" s="2">
        <f t="shared" si="18"/>
        <v>0</v>
      </c>
      <c r="AL15" s="2">
        <f t="shared" si="18"/>
        <v>0</v>
      </c>
      <c r="AM15" s="2">
        <f t="shared" si="18"/>
        <v>0</v>
      </c>
      <c r="AN15" s="2">
        <f t="shared" si="18"/>
        <v>0</v>
      </c>
      <c r="AO15" s="15">
        <f t="shared" si="18"/>
        <v>0</v>
      </c>
    </row>
    <row r="16" spans="1:41" x14ac:dyDescent="0.25">
      <c r="A16" s="46" t="s">
        <v>31</v>
      </c>
      <c r="B16" s="13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s="59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s="14">
        <v>0</v>
      </c>
    </row>
    <row r="17" spans="1:41" ht="13.8" thickBot="1" x14ac:dyDescent="0.3">
      <c r="A17" s="35" t="s">
        <v>34</v>
      </c>
      <c r="B17" s="23">
        <f>SUM(B13:B16)</f>
        <v>0</v>
      </c>
      <c r="C17" s="24">
        <f t="shared" ref="C17:R17" si="19">SUM(C13:C16)</f>
        <v>0</v>
      </c>
      <c r="D17" s="24">
        <f t="shared" si="19"/>
        <v>0</v>
      </c>
      <c r="E17" s="24">
        <f t="shared" si="19"/>
        <v>0</v>
      </c>
      <c r="F17" s="24">
        <f t="shared" si="19"/>
        <v>0</v>
      </c>
      <c r="G17" s="24">
        <f t="shared" si="19"/>
        <v>0</v>
      </c>
      <c r="H17" s="24">
        <f t="shared" si="19"/>
        <v>0</v>
      </c>
      <c r="I17" s="64">
        <f t="shared" si="19"/>
        <v>2783.8322665797064</v>
      </c>
      <c r="J17" s="24">
        <f t="shared" si="19"/>
        <v>11135.329066318825</v>
      </c>
      <c r="K17" s="24">
        <f t="shared" si="19"/>
        <v>11135.329066318825</v>
      </c>
      <c r="L17" s="24">
        <f t="shared" si="19"/>
        <v>11135.329066318825</v>
      </c>
      <c r="M17" s="24">
        <f t="shared" si="19"/>
        <v>11135.329066318825</v>
      </c>
      <c r="N17" s="24">
        <f t="shared" si="19"/>
        <v>11135.329066318825</v>
      </c>
      <c r="O17" s="24">
        <f t="shared" si="19"/>
        <v>11135.329066318825</v>
      </c>
      <c r="P17" s="24">
        <f t="shared" si="19"/>
        <v>11135.329066318825</v>
      </c>
      <c r="Q17" s="24">
        <f t="shared" si="19"/>
        <v>11135.329066318825</v>
      </c>
      <c r="R17" s="24">
        <f t="shared" si="19"/>
        <v>11135.329066318825</v>
      </c>
      <c r="S17" s="24">
        <f t="shared" ref="S17:AH17" si="20">SUM(S13:S16)</f>
        <v>11135.329066318825</v>
      </c>
      <c r="T17" s="24">
        <f t="shared" si="20"/>
        <v>11135.329066318825</v>
      </c>
      <c r="U17" s="24">
        <f t="shared" si="20"/>
        <v>11135.329066318825</v>
      </c>
      <c r="V17" s="24">
        <f t="shared" si="20"/>
        <v>11135.329066318825</v>
      </c>
      <c r="W17" s="24">
        <f t="shared" si="20"/>
        <v>11135.329066318825</v>
      </c>
      <c r="X17" s="24">
        <f t="shared" si="20"/>
        <v>11135.329066318825</v>
      </c>
      <c r="Y17" s="24">
        <f t="shared" si="20"/>
        <v>11135.329066318825</v>
      </c>
      <c r="Z17" s="24">
        <f t="shared" si="20"/>
        <v>11135.329066318825</v>
      </c>
      <c r="AA17" s="24">
        <f t="shared" si="20"/>
        <v>11135.329066318825</v>
      </c>
      <c r="AB17" s="24">
        <f t="shared" si="20"/>
        <v>11135.329066318825</v>
      </c>
      <c r="AC17" s="24">
        <f t="shared" si="20"/>
        <v>11135.329066318825</v>
      </c>
      <c r="AD17" s="24">
        <f t="shared" si="20"/>
        <v>11135.329066318825</v>
      </c>
      <c r="AE17" s="24">
        <f t="shared" si="20"/>
        <v>11135.329066318825</v>
      </c>
      <c r="AF17" s="24">
        <f t="shared" si="20"/>
        <v>11135.329066318825</v>
      </c>
      <c r="AG17" s="24">
        <f t="shared" si="20"/>
        <v>11135.329066318825</v>
      </c>
      <c r="AH17" s="24">
        <f t="shared" si="20"/>
        <v>11135.329066318825</v>
      </c>
      <c r="AI17" s="24">
        <f t="shared" ref="AI17:AO17" si="21">SUM(AI13:AI16)</f>
        <v>11135.329066318825</v>
      </c>
      <c r="AJ17" s="24">
        <f t="shared" si="21"/>
        <v>11135.329066318825</v>
      </c>
      <c r="AK17" s="24">
        <f t="shared" si="21"/>
        <v>11135.329066318825</v>
      </c>
      <c r="AL17" s="24">
        <f t="shared" si="21"/>
        <v>11135.329066318825</v>
      </c>
      <c r="AM17" s="24">
        <f t="shared" si="21"/>
        <v>11135.329066318825</v>
      </c>
      <c r="AN17" s="24">
        <f t="shared" si="21"/>
        <v>0</v>
      </c>
      <c r="AO17" s="25">
        <f t="shared" si="21"/>
        <v>0</v>
      </c>
    </row>
    <row r="18" spans="1:41" x14ac:dyDescent="0.25">
      <c r="A18" s="9" t="s">
        <v>35</v>
      </c>
      <c r="B18" s="13"/>
      <c r="AO18" s="14"/>
    </row>
    <row r="19" spans="1:41" x14ac:dyDescent="0.25">
      <c r="A19" s="9" t="s">
        <v>36</v>
      </c>
      <c r="B19" s="13"/>
      <c r="I19" s="59">
        <v>1</v>
      </c>
      <c r="J19">
        <f>I19+1</f>
        <v>2</v>
      </c>
      <c r="K19">
        <f t="shared" ref="K19:Z19" si="22">J19+1</f>
        <v>3</v>
      </c>
      <c r="L19">
        <f t="shared" si="22"/>
        <v>4</v>
      </c>
      <c r="M19">
        <f t="shared" si="22"/>
        <v>5</v>
      </c>
      <c r="N19">
        <f t="shared" si="22"/>
        <v>6</v>
      </c>
      <c r="O19">
        <f t="shared" si="22"/>
        <v>7</v>
      </c>
      <c r="P19">
        <f t="shared" si="22"/>
        <v>8</v>
      </c>
      <c r="Q19">
        <f t="shared" si="22"/>
        <v>9</v>
      </c>
      <c r="R19">
        <f t="shared" si="22"/>
        <v>10</v>
      </c>
      <c r="S19">
        <f t="shared" si="22"/>
        <v>11</v>
      </c>
      <c r="T19">
        <f t="shared" si="22"/>
        <v>12</v>
      </c>
      <c r="U19">
        <f t="shared" si="22"/>
        <v>13</v>
      </c>
      <c r="V19">
        <f t="shared" si="22"/>
        <v>14</v>
      </c>
      <c r="W19">
        <f t="shared" si="22"/>
        <v>15</v>
      </c>
      <c r="X19">
        <f t="shared" si="22"/>
        <v>16</v>
      </c>
      <c r="Y19">
        <f t="shared" si="22"/>
        <v>17</v>
      </c>
      <c r="Z19">
        <f t="shared" si="22"/>
        <v>18</v>
      </c>
      <c r="AA19">
        <f t="shared" ref="AA19:AO19" si="23">Z19+1</f>
        <v>19</v>
      </c>
      <c r="AB19">
        <f t="shared" si="23"/>
        <v>20</v>
      </c>
      <c r="AC19">
        <f t="shared" si="23"/>
        <v>21</v>
      </c>
      <c r="AD19">
        <f t="shared" si="23"/>
        <v>22</v>
      </c>
      <c r="AE19">
        <f t="shared" si="23"/>
        <v>23</v>
      </c>
      <c r="AF19">
        <f t="shared" si="23"/>
        <v>24</v>
      </c>
      <c r="AG19">
        <f t="shared" si="23"/>
        <v>25</v>
      </c>
      <c r="AH19">
        <f t="shared" si="23"/>
        <v>26</v>
      </c>
      <c r="AI19">
        <f t="shared" si="23"/>
        <v>27</v>
      </c>
      <c r="AJ19">
        <f t="shared" si="23"/>
        <v>28</v>
      </c>
      <c r="AK19">
        <f t="shared" si="23"/>
        <v>29</v>
      </c>
      <c r="AL19">
        <f t="shared" si="23"/>
        <v>30</v>
      </c>
      <c r="AM19">
        <f t="shared" si="23"/>
        <v>31</v>
      </c>
      <c r="AN19">
        <f t="shared" si="23"/>
        <v>32</v>
      </c>
      <c r="AO19">
        <f t="shared" si="23"/>
        <v>33</v>
      </c>
    </row>
    <row r="20" spans="1:41" x14ac:dyDescent="0.25">
      <c r="A20" s="8" t="s">
        <v>37</v>
      </c>
      <c r="B20" s="13">
        <v>0</v>
      </c>
      <c r="C20">
        <v>0</v>
      </c>
      <c r="D20">
        <v>0</v>
      </c>
      <c r="E20">
        <v>0</v>
      </c>
      <c r="F20">
        <f>(900+13900)/3</f>
        <v>4933.333333333333</v>
      </c>
      <c r="G20">
        <f>(900+13900)/3</f>
        <v>4933.333333333333</v>
      </c>
      <c r="H20">
        <f>(900+13900)/3</f>
        <v>4933.333333333333</v>
      </c>
      <c r="I20" s="59">
        <v>0</v>
      </c>
      <c r="J20">
        <v>0</v>
      </c>
      <c r="K20">
        <v>0</v>
      </c>
      <c r="AO20" s="14"/>
    </row>
    <row r="21" spans="1:41" x14ac:dyDescent="0.25">
      <c r="A21" s="8" t="s">
        <v>38</v>
      </c>
      <c r="B21" s="13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s="59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s="14">
        <v>0</v>
      </c>
    </row>
    <row r="22" spans="1:41" x14ac:dyDescent="0.25">
      <c r="A22" s="8" t="s">
        <v>39</v>
      </c>
      <c r="B22" s="13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s="59">
        <v>0</v>
      </c>
      <c r="J22">
        <v>0</v>
      </c>
      <c r="K22">
        <v>0</v>
      </c>
      <c r="L22">
        <v>0</v>
      </c>
      <c r="M22">
        <v>0</v>
      </c>
      <c r="O22">
        <v>0</v>
      </c>
      <c r="P22">
        <v>0</v>
      </c>
      <c r="Q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 x14ac:dyDescent="0.25">
      <c r="A23" s="8" t="s">
        <v>40</v>
      </c>
      <c r="B23" s="1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s="59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AO23" s="14"/>
    </row>
    <row r="24" spans="1:41" x14ac:dyDescent="0.25">
      <c r="A24" s="8" t="s">
        <v>41</v>
      </c>
      <c r="B24" s="13">
        <v>0</v>
      </c>
      <c r="C24">
        <v>0</v>
      </c>
      <c r="D24">
        <v>0</v>
      </c>
      <c r="E24">
        <v>3000</v>
      </c>
      <c r="F24">
        <v>0</v>
      </c>
      <c r="G24">
        <v>3300</v>
      </c>
      <c r="H24">
        <v>0</v>
      </c>
      <c r="I24" s="59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AO24" s="14"/>
    </row>
    <row r="25" spans="1:41" x14ac:dyDescent="0.25">
      <c r="A25" s="8" t="s">
        <v>42</v>
      </c>
      <c r="B25" s="13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4000</v>
      </c>
      <c r="I25" s="59">
        <v>4000</v>
      </c>
      <c r="J25">
        <v>0</v>
      </c>
      <c r="K25">
        <f>$G$4*K22</f>
        <v>0</v>
      </c>
      <c r="L25">
        <v>0</v>
      </c>
      <c r="M25">
        <f t="shared" ref="M25:AA25" si="24">$G$4*M22</f>
        <v>0</v>
      </c>
      <c r="N25">
        <f t="shared" si="24"/>
        <v>0</v>
      </c>
      <c r="O25">
        <f t="shared" si="24"/>
        <v>0</v>
      </c>
      <c r="P25">
        <f t="shared" si="24"/>
        <v>0</v>
      </c>
      <c r="Q25">
        <f t="shared" si="24"/>
        <v>0</v>
      </c>
      <c r="R25">
        <f t="shared" si="24"/>
        <v>0</v>
      </c>
      <c r="S25">
        <f t="shared" si="24"/>
        <v>0</v>
      </c>
      <c r="T25">
        <f t="shared" si="24"/>
        <v>0</v>
      </c>
      <c r="U25">
        <f t="shared" si="24"/>
        <v>0</v>
      </c>
      <c r="V25">
        <f t="shared" si="24"/>
        <v>0</v>
      </c>
      <c r="W25">
        <f t="shared" si="24"/>
        <v>0</v>
      </c>
      <c r="X25">
        <f t="shared" si="24"/>
        <v>0</v>
      </c>
      <c r="Y25">
        <f t="shared" si="24"/>
        <v>0</v>
      </c>
      <c r="Z25">
        <f t="shared" si="24"/>
        <v>0</v>
      </c>
      <c r="AA25">
        <f t="shared" si="24"/>
        <v>0</v>
      </c>
      <c r="AB25">
        <f t="shared" ref="AB25:AO25" si="25">$G$4*AB22</f>
        <v>0</v>
      </c>
      <c r="AC25">
        <f t="shared" si="25"/>
        <v>0</v>
      </c>
      <c r="AD25">
        <f t="shared" si="25"/>
        <v>0</v>
      </c>
      <c r="AE25">
        <f t="shared" si="25"/>
        <v>0</v>
      </c>
      <c r="AF25">
        <f t="shared" si="25"/>
        <v>0</v>
      </c>
      <c r="AG25">
        <f t="shared" si="25"/>
        <v>0</v>
      </c>
      <c r="AH25">
        <f t="shared" si="25"/>
        <v>0</v>
      </c>
      <c r="AI25">
        <f t="shared" si="25"/>
        <v>0</v>
      </c>
      <c r="AJ25">
        <f t="shared" si="25"/>
        <v>0</v>
      </c>
      <c r="AK25">
        <f t="shared" si="25"/>
        <v>0</v>
      </c>
      <c r="AL25">
        <f t="shared" si="25"/>
        <v>0</v>
      </c>
      <c r="AM25">
        <f t="shared" si="25"/>
        <v>0</v>
      </c>
      <c r="AN25">
        <f t="shared" si="25"/>
        <v>0</v>
      </c>
      <c r="AO25">
        <f t="shared" si="25"/>
        <v>0</v>
      </c>
    </row>
    <row r="26" spans="1:41" x14ac:dyDescent="0.25">
      <c r="A26" s="8" t="s">
        <v>43</v>
      </c>
      <c r="B26" s="13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8000</v>
      </c>
      <c r="I26" s="59">
        <v>8000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AO26" s="14"/>
    </row>
    <row r="27" spans="1:41" x14ac:dyDescent="0.25">
      <c r="A27" s="8" t="s">
        <v>44</v>
      </c>
      <c r="B27" s="13">
        <v>0</v>
      </c>
      <c r="C27">
        <v>0</v>
      </c>
      <c r="D27">
        <v>0</v>
      </c>
      <c r="E27">
        <v>250</v>
      </c>
      <c r="F27">
        <v>250</v>
      </c>
      <c r="G27">
        <v>500</v>
      </c>
      <c r="H27">
        <f>2000+150</f>
        <v>2150</v>
      </c>
      <c r="I27" s="59">
        <v>2000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AO27" s="14"/>
    </row>
    <row r="28" spans="1:41" x14ac:dyDescent="0.25">
      <c r="A28" s="36" t="s">
        <v>45</v>
      </c>
      <c r="B28" s="27">
        <v>0</v>
      </c>
      <c r="C28" s="28">
        <f t="shared" ref="C28:R28" si="26">SUM(C20:C27)</f>
        <v>0</v>
      </c>
      <c r="D28" s="28">
        <f t="shared" si="26"/>
        <v>0</v>
      </c>
      <c r="E28" s="28">
        <f t="shared" si="26"/>
        <v>3250</v>
      </c>
      <c r="F28" s="28">
        <f t="shared" si="26"/>
        <v>5183.333333333333</v>
      </c>
      <c r="G28" s="28">
        <f t="shared" si="26"/>
        <v>8733.3333333333321</v>
      </c>
      <c r="H28" s="28">
        <f t="shared" si="26"/>
        <v>19083.333333333332</v>
      </c>
      <c r="I28" s="65">
        <f t="shared" si="26"/>
        <v>14000</v>
      </c>
      <c r="J28" s="28">
        <f t="shared" si="26"/>
        <v>0</v>
      </c>
      <c r="K28" s="28">
        <f t="shared" si="26"/>
        <v>0</v>
      </c>
      <c r="L28" s="28">
        <f t="shared" si="26"/>
        <v>0</v>
      </c>
      <c r="M28" s="28">
        <f t="shared" si="26"/>
        <v>0</v>
      </c>
      <c r="N28" s="28">
        <f t="shared" si="26"/>
        <v>0</v>
      </c>
      <c r="O28" s="28">
        <f t="shared" si="26"/>
        <v>0</v>
      </c>
      <c r="P28" s="28">
        <f t="shared" si="26"/>
        <v>0</v>
      </c>
      <c r="Q28" s="28">
        <f t="shared" si="26"/>
        <v>0</v>
      </c>
      <c r="R28" s="28">
        <f t="shared" si="26"/>
        <v>0</v>
      </c>
      <c r="S28" s="28">
        <f t="shared" ref="S28:AH28" si="27">SUM(S20:S27)</f>
        <v>0</v>
      </c>
      <c r="T28" s="28">
        <f t="shared" si="27"/>
        <v>0</v>
      </c>
      <c r="U28" s="28">
        <f t="shared" si="27"/>
        <v>0</v>
      </c>
      <c r="V28" s="28">
        <f t="shared" si="27"/>
        <v>0</v>
      </c>
      <c r="W28" s="28">
        <f t="shared" si="27"/>
        <v>0</v>
      </c>
      <c r="X28" s="28">
        <f t="shared" si="27"/>
        <v>0</v>
      </c>
      <c r="Y28" s="28">
        <f t="shared" si="27"/>
        <v>0</v>
      </c>
      <c r="Z28" s="28">
        <f t="shared" si="27"/>
        <v>0</v>
      </c>
      <c r="AA28" s="28">
        <f t="shared" si="27"/>
        <v>0</v>
      </c>
      <c r="AB28" s="28">
        <f t="shared" si="27"/>
        <v>0</v>
      </c>
      <c r="AC28" s="28">
        <f t="shared" si="27"/>
        <v>0</v>
      </c>
      <c r="AD28" s="28">
        <f t="shared" si="27"/>
        <v>0</v>
      </c>
      <c r="AE28" s="28">
        <f t="shared" si="27"/>
        <v>0</v>
      </c>
      <c r="AF28" s="28">
        <f t="shared" si="27"/>
        <v>0</v>
      </c>
      <c r="AG28" s="28">
        <f t="shared" si="27"/>
        <v>0</v>
      </c>
      <c r="AH28" s="28">
        <f t="shared" si="27"/>
        <v>0</v>
      </c>
      <c r="AI28" s="28">
        <f t="shared" ref="AI28:AO28" si="28">SUM(AI20:AI27)</f>
        <v>0</v>
      </c>
      <c r="AJ28" s="28">
        <f t="shared" si="28"/>
        <v>0</v>
      </c>
      <c r="AK28" s="28">
        <f t="shared" si="28"/>
        <v>0</v>
      </c>
      <c r="AL28" s="28">
        <f t="shared" si="28"/>
        <v>0</v>
      </c>
      <c r="AM28" s="28">
        <f t="shared" si="28"/>
        <v>0</v>
      </c>
      <c r="AN28" s="28">
        <f t="shared" si="28"/>
        <v>0</v>
      </c>
      <c r="AO28" s="29">
        <f t="shared" si="28"/>
        <v>0</v>
      </c>
    </row>
    <row r="29" spans="1:41" x14ac:dyDescent="0.25">
      <c r="A29" s="26" t="s">
        <v>46</v>
      </c>
      <c r="B29" s="16">
        <f>(B20+B21+B23)*(1-$K$4)+B24</f>
        <v>0</v>
      </c>
      <c r="C29" s="2">
        <f>(C20+C21+C23)*(1-$K$4)+C24</f>
        <v>0</v>
      </c>
      <c r="D29" s="2">
        <f>(D20+D21+D23)*(1-$K$4)+D24</f>
        <v>0</v>
      </c>
      <c r="E29" s="2">
        <f>(E20+E21+E22+E23)*(1-$K$4)+E24</f>
        <v>3000</v>
      </c>
      <c r="F29" s="2">
        <f t="shared" ref="F29:U29" si="29">(F20+F21+F22+F23)*(1-$K$4)+F24</f>
        <v>3453.333333333333</v>
      </c>
      <c r="G29" s="2">
        <f t="shared" si="29"/>
        <v>6753.333333333333</v>
      </c>
      <c r="H29" s="2">
        <f t="shared" si="29"/>
        <v>3453.333333333333</v>
      </c>
      <c r="I29" s="63">
        <f t="shared" si="29"/>
        <v>0</v>
      </c>
      <c r="J29" s="2">
        <f t="shared" si="29"/>
        <v>0</v>
      </c>
      <c r="K29" s="2">
        <f t="shared" si="29"/>
        <v>0</v>
      </c>
      <c r="L29" s="2">
        <f t="shared" si="29"/>
        <v>0</v>
      </c>
      <c r="M29" s="2">
        <f t="shared" si="29"/>
        <v>0</v>
      </c>
      <c r="N29" s="2">
        <f t="shared" si="29"/>
        <v>0</v>
      </c>
      <c r="O29" s="2">
        <f t="shared" si="29"/>
        <v>0</v>
      </c>
      <c r="P29" s="2">
        <f t="shared" si="29"/>
        <v>0</v>
      </c>
      <c r="Q29" s="2">
        <f t="shared" si="29"/>
        <v>0</v>
      </c>
      <c r="R29" s="2">
        <f t="shared" si="29"/>
        <v>0</v>
      </c>
      <c r="S29" s="2">
        <f t="shared" si="29"/>
        <v>0</v>
      </c>
      <c r="T29" s="2">
        <f t="shared" si="29"/>
        <v>0</v>
      </c>
      <c r="U29" s="2">
        <f t="shared" si="29"/>
        <v>0</v>
      </c>
      <c r="V29" s="2">
        <f t="shared" ref="V29:AK29" si="30">(V20+V21+V22+V23)*(1-$K$4)+V24</f>
        <v>0</v>
      </c>
      <c r="W29" s="2">
        <f t="shared" si="30"/>
        <v>0</v>
      </c>
      <c r="X29" s="2">
        <f t="shared" si="30"/>
        <v>0</v>
      </c>
      <c r="Y29" s="2">
        <f t="shared" si="30"/>
        <v>0</v>
      </c>
      <c r="Z29" s="2">
        <f t="shared" si="30"/>
        <v>0</v>
      </c>
      <c r="AA29" s="2">
        <f t="shared" si="30"/>
        <v>0</v>
      </c>
      <c r="AB29" s="2">
        <f t="shared" si="30"/>
        <v>0</v>
      </c>
      <c r="AC29" s="2">
        <f t="shared" si="30"/>
        <v>0</v>
      </c>
      <c r="AD29" s="2">
        <f t="shared" si="30"/>
        <v>0</v>
      </c>
      <c r="AE29" s="2">
        <f t="shared" si="30"/>
        <v>0</v>
      </c>
      <c r="AF29" s="2">
        <f t="shared" si="30"/>
        <v>0</v>
      </c>
      <c r="AG29" s="2">
        <f t="shared" si="30"/>
        <v>0</v>
      </c>
      <c r="AH29" s="2">
        <f t="shared" si="30"/>
        <v>0</v>
      </c>
      <c r="AI29" s="2">
        <f t="shared" si="30"/>
        <v>0</v>
      </c>
      <c r="AJ29" s="2">
        <f t="shared" si="30"/>
        <v>0</v>
      </c>
      <c r="AK29" s="2">
        <f t="shared" si="30"/>
        <v>0</v>
      </c>
      <c r="AL29" s="2">
        <f>(AL20+AL21+AL22+AL23)*(1-$K$4)+AL24</f>
        <v>0</v>
      </c>
      <c r="AM29" s="2">
        <f>(AM20+AM21+AM22+AM23)*(1-$K$4)+AM24</f>
        <v>0</v>
      </c>
      <c r="AN29" s="2">
        <f>(AN20+AN21+AN22+AN23)*(1-$K$4)+AN24</f>
        <v>0</v>
      </c>
      <c r="AO29" s="15">
        <f>(AO20+AO21+AO22+AO23)*(1-$K$4)+AO24</f>
        <v>0</v>
      </c>
    </row>
    <row r="30" spans="1:41" x14ac:dyDescent="0.25">
      <c r="A30" s="42" t="s">
        <v>47</v>
      </c>
      <c r="B30" s="43">
        <f>B28-B29</f>
        <v>0</v>
      </c>
      <c r="C30" s="44">
        <f t="shared" ref="C30:R30" si="31">C28-C29</f>
        <v>0</v>
      </c>
      <c r="D30" s="44">
        <f t="shared" si="31"/>
        <v>0</v>
      </c>
      <c r="E30" s="44">
        <f t="shared" si="31"/>
        <v>250</v>
      </c>
      <c r="F30" s="44">
        <f t="shared" si="31"/>
        <v>1730</v>
      </c>
      <c r="G30" s="44">
        <f t="shared" si="31"/>
        <v>1979.9999999999991</v>
      </c>
      <c r="H30" s="44">
        <f t="shared" si="31"/>
        <v>15630</v>
      </c>
      <c r="I30" s="66">
        <f t="shared" si="31"/>
        <v>14000</v>
      </c>
      <c r="J30" s="44">
        <f t="shared" si="31"/>
        <v>0</v>
      </c>
      <c r="K30" s="44">
        <f t="shared" si="31"/>
        <v>0</v>
      </c>
      <c r="L30" s="44">
        <f t="shared" si="31"/>
        <v>0</v>
      </c>
      <c r="M30" s="44">
        <f t="shared" si="31"/>
        <v>0</v>
      </c>
      <c r="N30" s="44">
        <f t="shared" si="31"/>
        <v>0</v>
      </c>
      <c r="O30" s="44">
        <f t="shared" si="31"/>
        <v>0</v>
      </c>
      <c r="P30" s="44">
        <f t="shared" si="31"/>
        <v>0</v>
      </c>
      <c r="Q30" s="44">
        <f t="shared" si="31"/>
        <v>0</v>
      </c>
      <c r="R30" s="44">
        <f t="shared" si="31"/>
        <v>0</v>
      </c>
      <c r="S30" s="44">
        <f t="shared" ref="S30:AH30" si="32">S28-S29</f>
        <v>0</v>
      </c>
      <c r="T30" s="44">
        <f t="shared" si="32"/>
        <v>0</v>
      </c>
      <c r="U30" s="44">
        <f t="shared" si="32"/>
        <v>0</v>
      </c>
      <c r="V30" s="44">
        <f t="shared" si="32"/>
        <v>0</v>
      </c>
      <c r="W30" s="44">
        <f t="shared" si="32"/>
        <v>0</v>
      </c>
      <c r="X30" s="44">
        <f t="shared" si="32"/>
        <v>0</v>
      </c>
      <c r="Y30" s="44">
        <f t="shared" si="32"/>
        <v>0</v>
      </c>
      <c r="Z30" s="44">
        <f t="shared" si="32"/>
        <v>0</v>
      </c>
      <c r="AA30" s="44">
        <f t="shared" si="32"/>
        <v>0</v>
      </c>
      <c r="AB30" s="44">
        <f t="shared" si="32"/>
        <v>0</v>
      </c>
      <c r="AC30" s="44">
        <f t="shared" si="32"/>
        <v>0</v>
      </c>
      <c r="AD30" s="44">
        <f t="shared" si="32"/>
        <v>0</v>
      </c>
      <c r="AE30" s="44">
        <f t="shared" si="32"/>
        <v>0</v>
      </c>
      <c r="AF30" s="44">
        <f t="shared" si="32"/>
        <v>0</v>
      </c>
      <c r="AG30" s="44">
        <f t="shared" si="32"/>
        <v>0</v>
      </c>
      <c r="AH30" s="44">
        <f t="shared" si="32"/>
        <v>0</v>
      </c>
      <c r="AI30" s="44">
        <f t="shared" ref="AI30:AO30" si="33">AI28-AI29</f>
        <v>0</v>
      </c>
      <c r="AJ30" s="44">
        <f t="shared" si="33"/>
        <v>0</v>
      </c>
      <c r="AK30" s="44">
        <f t="shared" si="33"/>
        <v>0</v>
      </c>
      <c r="AL30" s="44">
        <f t="shared" si="33"/>
        <v>0</v>
      </c>
      <c r="AM30" s="44">
        <f t="shared" si="33"/>
        <v>0</v>
      </c>
      <c r="AN30" s="44">
        <f t="shared" si="33"/>
        <v>0</v>
      </c>
      <c r="AO30" s="45">
        <f t="shared" si="33"/>
        <v>0</v>
      </c>
    </row>
    <row r="31" spans="1:41" x14ac:dyDescent="0.25">
      <c r="A31" s="9" t="s">
        <v>48</v>
      </c>
      <c r="B31" s="13">
        <v>0</v>
      </c>
      <c r="AO31" s="14"/>
    </row>
    <row r="32" spans="1:41" x14ac:dyDescent="0.25">
      <c r="A32" s="8" t="s">
        <v>49</v>
      </c>
      <c r="B32" s="13">
        <v>0</v>
      </c>
      <c r="C32">
        <v>0</v>
      </c>
      <c r="D32">
        <v>0</v>
      </c>
      <c r="E32">
        <v>500</v>
      </c>
      <c r="F32">
        <v>0</v>
      </c>
      <c r="G32">
        <v>0</v>
      </c>
      <c r="H32">
        <v>0</v>
      </c>
      <c r="I32" s="59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AO32" s="14"/>
    </row>
    <row r="33" spans="1:41" x14ac:dyDescent="0.25">
      <c r="A33" s="8" t="s">
        <v>50</v>
      </c>
      <c r="B33" s="1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s="59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AO33" s="14"/>
    </row>
    <row r="34" spans="1:41" x14ac:dyDescent="0.25">
      <c r="A34" s="8" t="s">
        <v>51</v>
      </c>
      <c r="B34" s="13">
        <v>0</v>
      </c>
      <c r="C34">
        <v>0</v>
      </c>
      <c r="D34">
        <v>0</v>
      </c>
      <c r="E34">
        <v>0</v>
      </c>
      <c r="F34">
        <v>150</v>
      </c>
      <c r="G34">
        <v>0</v>
      </c>
      <c r="H34">
        <v>0</v>
      </c>
      <c r="I34" s="59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AO34" s="14"/>
    </row>
    <row r="35" spans="1:41" x14ac:dyDescent="0.25">
      <c r="A35" s="8" t="s">
        <v>52</v>
      </c>
      <c r="B35" s="13">
        <v>0</v>
      </c>
      <c r="C35">
        <v>0</v>
      </c>
      <c r="D35">
        <v>0</v>
      </c>
      <c r="E35">
        <v>0</v>
      </c>
      <c r="F35">
        <v>50</v>
      </c>
      <c r="G35">
        <v>0</v>
      </c>
      <c r="H35">
        <v>0</v>
      </c>
      <c r="I35" s="59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AO35" s="14"/>
    </row>
    <row r="36" spans="1:41" x14ac:dyDescent="0.25">
      <c r="A36" s="8" t="s">
        <v>53</v>
      </c>
      <c r="B36" s="13">
        <v>0</v>
      </c>
      <c r="C36">
        <v>0</v>
      </c>
      <c r="D36">
        <v>0</v>
      </c>
      <c r="E36">
        <v>0</v>
      </c>
      <c r="F36">
        <v>0</v>
      </c>
      <c r="G36">
        <v>150</v>
      </c>
      <c r="H36">
        <v>150</v>
      </c>
      <c r="I36" s="59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AO36" s="14"/>
    </row>
    <row r="37" spans="1:41" x14ac:dyDescent="0.25">
      <c r="A37" s="8" t="s">
        <v>54</v>
      </c>
      <c r="B37" s="16">
        <f>B8*$K$2</f>
        <v>0</v>
      </c>
      <c r="C37" s="52">
        <f>C8*$K$2</f>
        <v>0</v>
      </c>
      <c r="D37" s="52">
        <f t="shared" ref="D37:AO37" si="34">D8*$K$2</f>
        <v>0</v>
      </c>
      <c r="E37" s="52">
        <f t="shared" si="34"/>
        <v>0</v>
      </c>
      <c r="F37" s="52">
        <f t="shared" si="34"/>
        <v>0</v>
      </c>
      <c r="G37" s="52">
        <f t="shared" si="34"/>
        <v>0</v>
      </c>
      <c r="H37" s="52">
        <f t="shared" si="34"/>
        <v>0</v>
      </c>
      <c r="I37" s="67">
        <f t="shared" si="34"/>
        <v>197.10000000000002</v>
      </c>
      <c r="J37" s="52">
        <f t="shared" si="34"/>
        <v>788.40000000000009</v>
      </c>
      <c r="K37" s="52">
        <f t="shared" si="34"/>
        <v>788.40000000000009</v>
      </c>
      <c r="L37" s="52">
        <f t="shared" si="34"/>
        <v>788.40000000000009</v>
      </c>
      <c r="M37" s="52">
        <f t="shared" si="34"/>
        <v>788.40000000000009</v>
      </c>
      <c r="N37" s="52">
        <f t="shared" si="34"/>
        <v>788.40000000000009</v>
      </c>
      <c r="O37" s="52">
        <f t="shared" si="34"/>
        <v>788.40000000000009</v>
      </c>
      <c r="P37" s="52">
        <f t="shared" si="34"/>
        <v>788.40000000000009</v>
      </c>
      <c r="Q37" s="52">
        <f t="shared" si="34"/>
        <v>788.40000000000009</v>
      </c>
      <c r="R37" s="52">
        <f t="shared" si="34"/>
        <v>788.40000000000009</v>
      </c>
      <c r="S37" s="52">
        <f t="shared" si="34"/>
        <v>788.40000000000009</v>
      </c>
      <c r="T37" s="52">
        <f t="shared" si="34"/>
        <v>788.40000000000009</v>
      </c>
      <c r="U37" s="52">
        <f t="shared" si="34"/>
        <v>788.40000000000009</v>
      </c>
      <c r="V37" s="52">
        <f t="shared" si="34"/>
        <v>788.40000000000009</v>
      </c>
      <c r="W37" s="52">
        <f t="shared" si="34"/>
        <v>788.40000000000009</v>
      </c>
      <c r="X37" s="52">
        <f t="shared" si="34"/>
        <v>788.40000000000009</v>
      </c>
      <c r="Y37" s="52">
        <f t="shared" si="34"/>
        <v>788.40000000000009</v>
      </c>
      <c r="Z37" s="52">
        <f t="shared" si="34"/>
        <v>788.40000000000009</v>
      </c>
      <c r="AA37" s="52">
        <f t="shared" si="34"/>
        <v>788.40000000000009</v>
      </c>
      <c r="AB37" s="52">
        <f t="shared" si="34"/>
        <v>788.40000000000009</v>
      </c>
      <c r="AC37" s="52">
        <f t="shared" si="34"/>
        <v>788.40000000000009</v>
      </c>
      <c r="AD37" s="52">
        <f t="shared" si="34"/>
        <v>788.40000000000009</v>
      </c>
      <c r="AE37" s="52">
        <f t="shared" si="34"/>
        <v>788.40000000000009</v>
      </c>
      <c r="AF37" s="52">
        <f t="shared" si="34"/>
        <v>788.40000000000009</v>
      </c>
      <c r="AG37" s="52">
        <f t="shared" si="34"/>
        <v>788.40000000000009</v>
      </c>
      <c r="AH37" s="52">
        <f t="shared" si="34"/>
        <v>788.40000000000009</v>
      </c>
      <c r="AI37" s="52">
        <f t="shared" si="34"/>
        <v>788.40000000000009</v>
      </c>
      <c r="AJ37" s="52">
        <f t="shared" si="34"/>
        <v>788.40000000000009</v>
      </c>
      <c r="AK37" s="52">
        <f t="shared" si="34"/>
        <v>788.40000000000009</v>
      </c>
      <c r="AL37" s="52">
        <f t="shared" si="34"/>
        <v>788.40000000000009</v>
      </c>
      <c r="AM37" s="52">
        <f t="shared" si="34"/>
        <v>788.40000000000009</v>
      </c>
      <c r="AN37" s="52">
        <f t="shared" si="34"/>
        <v>788.40000000000009</v>
      </c>
      <c r="AO37" s="53">
        <f t="shared" si="34"/>
        <v>788.40000000000009</v>
      </c>
    </row>
    <row r="38" spans="1:41" ht="13.8" thickBot="1" x14ac:dyDescent="0.3">
      <c r="A38" s="37" t="s">
        <v>55</v>
      </c>
      <c r="B38" s="23">
        <f>SUM(B32:B37)</f>
        <v>0</v>
      </c>
      <c r="C38" s="18">
        <f t="shared" ref="C38:R38" si="35">SUM(C32:C37)</f>
        <v>0</v>
      </c>
      <c r="D38" s="24">
        <f t="shared" si="35"/>
        <v>0</v>
      </c>
      <c r="E38" s="24">
        <f t="shared" si="35"/>
        <v>500</v>
      </c>
      <c r="F38" s="24">
        <f t="shared" si="35"/>
        <v>200</v>
      </c>
      <c r="G38" s="24">
        <f t="shared" si="35"/>
        <v>150</v>
      </c>
      <c r="H38" s="24">
        <f t="shared" si="35"/>
        <v>150</v>
      </c>
      <c r="I38" s="64">
        <f t="shared" si="35"/>
        <v>197.10000000000002</v>
      </c>
      <c r="J38" s="24">
        <f t="shared" si="35"/>
        <v>788.40000000000009</v>
      </c>
      <c r="K38" s="24">
        <f t="shared" si="35"/>
        <v>788.40000000000009</v>
      </c>
      <c r="L38" s="24">
        <f t="shared" si="35"/>
        <v>788.40000000000009</v>
      </c>
      <c r="M38" s="24">
        <f t="shared" si="35"/>
        <v>788.40000000000009</v>
      </c>
      <c r="N38" s="24">
        <f t="shared" si="35"/>
        <v>788.40000000000009</v>
      </c>
      <c r="O38" s="24">
        <f t="shared" si="35"/>
        <v>788.40000000000009</v>
      </c>
      <c r="P38" s="24">
        <f t="shared" si="35"/>
        <v>788.40000000000009</v>
      </c>
      <c r="Q38" s="24">
        <f t="shared" si="35"/>
        <v>788.40000000000009</v>
      </c>
      <c r="R38" s="24">
        <f t="shared" si="35"/>
        <v>788.40000000000009</v>
      </c>
      <c r="S38" s="24">
        <f t="shared" ref="S38:AH38" si="36">SUM(S32:S37)</f>
        <v>788.40000000000009</v>
      </c>
      <c r="T38" s="24">
        <f t="shared" si="36"/>
        <v>788.40000000000009</v>
      </c>
      <c r="U38" s="24">
        <f t="shared" si="36"/>
        <v>788.40000000000009</v>
      </c>
      <c r="V38" s="24">
        <f t="shared" si="36"/>
        <v>788.40000000000009</v>
      </c>
      <c r="W38" s="24">
        <f t="shared" si="36"/>
        <v>788.40000000000009</v>
      </c>
      <c r="X38" s="24">
        <f t="shared" si="36"/>
        <v>788.40000000000009</v>
      </c>
      <c r="Y38" s="24">
        <f t="shared" si="36"/>
        <v>788.40000000000009</v>
      </c>
      <c r="Z38" s="24">
        <f t="shared" si="36"/>
        <v>788.40000000000009</v>
      </c>
      <c r="AA38" s="24">
        <f t="shared" si="36"/>
        <v>788.40000000000009</v>
      </c>
      <c r="AB38" s="24">
        <f t="shared" si="36"/>
        <v>788.40000000000009</v>
      </c>
      <c r="AC38" s="24">
        <f t="shared" si="36"/>
        <v>788.40000000000009</v>
      </c>
      <c r="AD38" s="24">
        <f t="shared" si="36"/>
        <v>788.40000000000009</v>
      </c>
      <c r="AE38" s="24">
        <f t="shared" si="36"/>
        <v>788.40000000000009</v>
      </c>
      <c r="AF38" s="24">
        <f t="shared" si="36"/>
        <v>788.40000000000009</v>
      </c>
      <c r="AG38" s="24">
        <f t="shared" si="36"/>
        <v>788.40000000000009</v>
      </c>
      <c r="AH38" s="24">
        <f t="shared" si="36"/>
        <v>788.40000000000009</v>
      </c>
      <c r="AI38" s="24">
        <f t="shared" ref="AI38:AO38" si="37">SUM(AI32:AI37)</f>
        <v>788.40000000000009</v>
      </c>
      <c r="AJ38" s="24">
        <f t="shared" si="37"/>
        <v>788.40000000000009</v>
      </c>
      <c r="AK38" s="24">
        <f t="shared" si="37"/>
        <v>788.40000000000009</v>
      </c>
      <c r="AL38" s="24">
        <f t="shared" si="37"/>
        <v>788.40000000000009</v>
      </c>
      <c r="AM38" s="24">
        <f t="shared" si="37"/>
        <v>788.40000000000009</v>
      </c>
      <c r="AN38" s="24">
        <f t="shared" si="37"/>
        <v>788.40000000000009</v>
      </c>
      <c r="AO38" s="25">
        <f t="shared" si="37"/>
        <v>788.40000000000009</v>
      </c>
    </row>
    <row r="39" spans="1:41" x14ac:dyDescent="0.25">
      <c r="A39" s="9" t="s">
        <v>56</v>
      </c>
      <c r="B39" s="13"/>
      <c r="AO39" s="14"/>
    </row>
    <row r="40" spans="1:41" x14ac:dyDescent="0.25">
      <c r="A40" s="9" t="s">
        <v>36</v>
      </c>
      <c r="B40" s="13"/>
      <c r="AO40" s="14"/>
    </row>
    <row r="41" spans="1:41" x14ac:dyDescent="0.25">
      <c r="A41" s="8" t="s">
        <v>57</v>
      </c>
      <c r="B41" s="13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s="59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AO41" s="14"/>
    </row>
    <row r="42" spans="1:41" x14ac:dyDescent="0.25">
      <c r="A42" s="8" t="s">
        <v>58</v>
      </c>
      <c r="B42" s="13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s="59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AO42" s="14"/>
    </row>
    <row r="43" spans="1:41" x14ac:dyDescent="0.25">
      <c r="A43" s="8" t="s">
        <v>59</v>
      </c>
      <c r="B43" s="1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f>19000/2</f>
        <v>9500</v>
      </c>
      <c r="I43" s="59">
        <f>19000/2</f>
        <v>9500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R43">
        <v>0</v>
      </c>
      <c r="S43">
        <v>0</v>
      </c>
      <c r="AO43" s="14"/>
    </row>
    <row r="44" spans="1:41" x14ac:dyDescent="0.25">
      <c r="A44" s="8" t="s">
        <v>60</v>
      </c>
      <c r="B44" s="13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s="59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AO44" s="14"/>
    </row>
    <row r="45" spans="1:41" x14ac:dyDescent="0.25">
      <c r="A45" s="36" t="s">
        <v>45</v>
      </c>
      <c r="B45" s="27">
        <f>SUM(B41:B44)</f>
        <v>0</v>
      </c>
      <c r="C45" s="28">
        <f t="shared" ref="C45:R45" si="38">SUM(C41:C44)</f>
        <v>0</v>
      </c>
      <c r="D45" s="28">
        <f t="shared" si="38"/>
        <v>0</v>
      </c>
      <c r="E45" s="28">
        <f t="shared" si="38"/>
        <v>0</v>
      </c>
      <c r="F45" s="28">
        <f t="shared" si="38"/>
        <v>0</v>
      </c>
      <c r="G45" s="28">
        <f t="shared" si="38"/>
        <v>0</v>
      </c>
      <c r="H45" s="28">
        <f t="shared" si="38"/>
        <v>9500</v>
      </c>
      <c r="I45" s="65">
        <f t="shared" si="38"/>
        <v>9500</v>
      </c>
      <c r="J45" s="28">
        <f t="shared" si="38"/>
        <v>0</v>
      </c>
      <c r="K45" s="28">
        <f t="shared" si="38"/>
        <v>0</v>
      </c>
      <c r="L45" s="28">
        <f t="shared" si="38"/>
        <v>0</v>
      </c>
      <c r="M45" s="28">
        <f t="shared" si="38"/>
        <v>0</v>
      </c>
      <c r="N45" s="28">
        <f t="shared" si="38"/>
        <v>0</v>
      </c>
      <c r="O45" s="28">
        <f t="shared" si="38"/>
        <v>0</v>
      </c>
      <c r="P45" s="28">
        <f t="shared" si="38"/>
        <v>0</v>
      </c>
      <c r="Q45" s="28">
        <f t="shared" si="38"/>
        <v>0</v>
      </c>
      <c r="R45" s="28">
        <f t="shared" si="38"/>
        <v>0</v>
      </c>
      <c r="S45" s="28">
        <f t="shared" ref="S45:AH45" si="39">SUM(S41:S44)</f>
        <v>0</v>
      </c>
      <c r="T45" s="28">
        <f t="shared" si="39"/>
        <v>0</v>
      </c>
      <c r="U45" s="28">
        <f t="shared" si="39"/>
        <v>0</v>
      </c>
      <c r="V45" s="28">
        <f t="shared" si="39"/>
        <v>0</v>
      </c>
      <c r="W45" s="28">
        <f t="shared" si="39"/>
        <v>0</v>
      </c>
      <c r="X45" s="28">
        <f t="shared" si="39"/>
        <v>0</v>
      </c>
      <c r="Y45" s="28">
        <f t="shared" si="39"/>
        <v>0</v>
      </c>
      <c r="Z45" s="28">
        <f t="shared" si="39"/>
        <v>0</v>
      </c>
      <c r="AA45" s="28">
        <f t="shared" si="39"/>
        <v>0</v>
      </c>
      <c r="AB45" s="28">
        <f t="shared" si="39"/>
        <v>0</v>
      </c>
      <c r="AC45" s="28">
        <f t="shared" si="39"/>
        <v>0</v>
      </c>
      <c r="AD45" s="28">
        <f t="shared" si="39"/>
        <v>0</v>
      </c>
      <c r="AE45" s="28">
        <f t="shared" si="39"/>
        <v>0</v>
      </c>
      <c r="AF45" s="28">
        <f t="shared" si="39"/>
        <v>0</v>
      </c>
      <c r="AG45" s="28">
        <f t="shared" si="39"/>
        <v>0</v>
      </c>
      <c r="AH45" s="28">
        <f t="shared" si="39"/>
        <v>0</v>
      </c>
      <c r="AI45" s="28">
        <f t="shared" ref="AI45:AO45" si="40">SUM(AI41:AI44)</f>
        <v>0</v>
      </c>
      <c r="AJ45" s="28">
        <f t="shared" si="40"/>
        <v>0</v>
      </c>
      <c r="AK45" s="28">
        <f t="shared" si="40"/>
        <v>0</v>
      </c>
      <c r="AL45" s="28">
        <f t="shared" si="40"/>
        <v>0</v>
      </c>
      <c r="AM45" s="28">
        <f t="shared" si="40"/>
        <v>0</v>
      </c>
      <c r="AN45" s="28">
        <f t="shared" si="40"/>
        <v>0</v>
      </c>
      <c r="AO45" s="29">
        <f t="shared" si="40"/>
        <v>0</v>
      </c>
    </row>
    <row r="46" spans="1:41" x14ac:dyDescent="0.25">
      <c r="A46" s="9" t="s">
        <v>48</v>
      </c>
      <c r="AO46" s="14"/>
    </row>
    <row r="47" spans="1:41" x14ac:dyDescent="0.25">
      <c r="A47" s="8" t="s">
        <v>61</v>
      </c>
      <c r="B47" s="16">
        <f>$K$3*B12</f>
        <v>0</v>
      </c>
      <c r="C47" s="2">
        <f t="shared" ref="C47:R47" si="41">$K$3*C12</f>
        <v>0</v>
      </c>
      <c r="D47" s="2">
        <f t="shared" si="41"/>
        <v>0</v>
      </c>
      <c r="E47" s="2">
        <f t="shared" si="41"/>
        <v>0</v>
      </c>
      <c r="F47" s="2">
        <f t="shared" si="41"/>
        <v>0</v>
      </c>
      <c r="G47" s="2">
        <f t="shared" si="41"/>
        <v>0</v>
      </c>
      <c r="H47" s="2">
        <f t="shared" si="41"/>
        <v>0</v>
      </c>
      <c r="I47" s="63">
        <v>246</v>
      </c>
      <c r="J47" s="2">
        <f t="shared" si="41"/>
        <v>1182.6000000000001</v>
      </c>
      <c r="K47" s="2">
        <f t="shared" si="41"/>
        <v>1182.6000000000001</v>
      </c>
      <c r="L47" s="2">
        <f t="shared" si="41"/>
        <v>1182.6000000000001</v>
      </c>
      <c r="M47" s="2">
        <f t="shared" si="41"/>
        <v>1182.6000000000001</v>
      </c>
      <c r="N47" s="2">
        <f t="shared" si="41"/>
        <v>1182.6000000000001</v>
      </c>
      <c r="O47" s="2">
        <f t="shared" si="41"/>
        <v>1182.6000000000001</v>
      </c>
      <c r="P47" s="2">
        <f t="shared" si="41"/>
        <v>1182.6000000000001</v>
      </c>
      <c r="Q47" s="2">
        <f t="shared" si="41"/>
        <v>1182.6000000000001</v>
      </c>
      <c r="R47" s="2">
        <f t="shared" si="41"/>
        <v>1182.6000000000001</v>
      </c>
      <c r="S47" s="2">
        <f t="shared" ref="S47:AH47" si="42">$K$3*S12</f>
        <v>1182.6000000000001</v>
      </c>
      <c r="T47" s="2">
        <f t="shared" si="42"/>
        <v>1182.6000000000001</v>
      </c>
      <c r="U47" s="2">
        <f t="shared" si="42"/>
        <v>1182.6000000000001</v>
      </c>
      <c r="V47" s="2">
        <f t="shared" si="42"/>
        <v>1182.6000000000001</v>
      </c>
      <c r="W47" s="2">
        <f t="shared" si="42"/>
        <v>1182.6000000000001</v>
      </c>
      <c r="X47" s="2">
        <f t="shared" si="42"/>
        <v>1182.6000000000001</v>
      </c>
      <c r="Y47" s="2">
        <f t="shared" si="42"/>
        <v>1182.6000000000001</v>
      </c>
      <c r="Z47" s="2">
        <f t="shared" si="42"/>
        <v>1182.6000000000001</v>
      </c>
      <c r="AA47" s="2">
        <f t="shared" si="42"/>
        <v>1182.6000000000001</v>
      </c>
      <c r="AB47" s="2">
        <f t="shared" si="42"/>
        <v>1182.6000000000001</v>
      </c>
      <c r="AC47" s="2">
        <f t="shared" si="42"/>
        <v>1182.6000000000001</v>
      </c>
      <c r="AD47" s="2">
        <f t="shared" si="42"/>
        <v>1182.6000000000001</v>
      </c>
      <c r="AE47" s="2">
        <f t="shared" si="42"/>
        <v>1182.6000000000001</v>
      </c>
      <c r="AF47" s="2">
        <f t="shared" si="42"/>
        <v>1182.6000000000001</v>
      </c>
      <c r="AG47" s="2">
        <f t="shared" si="42"/>
        <v>1182.6000000000001</v>
      </c>
      <c r="AH47" s="2">
        <f t="shared" si="42"/>
        <v>1182.6000000000001</v>
      </c>
      <c r="AI47" s="2">
        <f t="shared" ref="AI47:AO47" si="43">$K$3*AI12</f>
        <v>1182.6000000000001</v>
      </c>
      <c r="AJ47" s="2">
        <f t="shared" si="43"/>
        <v>1182.6000000000001</v>
      </c>
      <c r="AK47" s="2">
        <f t="shared" si="43"/>
        <v>1182.6000000000001</v>
      </c>
      <c r="AL47" s="2">
        <f t="shared" si="43"/>
        <v>1182.6000000000001</v>
      </c>
      <c r="AM47" s="2">
        <f t="shared" si="43"/>
        <v>1182.6000000000001</v>
      </c>
      <c r="AN47" s="2">
        <f t="shared" si="43"/>
        <v>1182.6000000000001</v>
      </c>
      <c r="AO47" s="15">
        <f t="shared" si="43"/>
        <v>1182.6000000000001</v>
      </c>
    </row>
    <row r="48" spans="1:41" x14ac:dyDescent="0.25">
      <c r="A48" s="8" t="s">
        <v>62</v>
      </c>
      <c r="B48" s="13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5000</v>
      </c>
      <c r="I48" s="59">
        <v>5000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 s="14">
        <v>0</v>
      </c>
    </row>
    <row r="49" spans="1:41" ht="13.8" thickBot="1" x14ac:dyDescent="0.3">
      <c r="A49" s="37" t="s">
        <v>107</v>
      </c>
      <c r="B49" s="23">
        <f>SUM(B47:B48)</f>
        <v>0</v>
      </c>
      <c r="C49" s="24">
        <f t="shared" ref="C49:R49" si="44">SUM(C47:C48)</f>
        <v>0</v>
      </c>
      <c r="D49" s="24">
        <f t="shared" si="44"/>
        <v>0</v>
      </c>
      <c r="E49" s="24">
        <f t="shared" si="44"/>
        <v>0</v>
      </c>
      <c r="F49" s="24">
        <f t="shared" si="44"/>
        <v>0</v>
      </c>
      <c r="G49" s="24">
        <f t="shared" si="44"/>
        <v>0</v>
      </c>
      <c r="H49" s="24">
        <f t="shared" si="44"/>
        <v>5000</v>
      </c>
      <c r="I49" s="64">
        <f t="shared" si="44"/>
        <v>5246</v>
      </c>
      <c r="J49" s="24">
        <f t="shared" si="44"/>
        <v>1182.6000000000001</v>
      </c>
      <c r="K49" s="24">
        <f t="shared" si="44"/>
        <v>1182.6000000000001</v>
      </c>
      <c r="L49" s="24">
        <f t="shared" si="44"/>
        <v>1182.6000000000001</v>
      </c>
      <c r="M49" s="24">
        <f t="shared" si="44"/>
        <v>1182.6000000000001</v>
      </c>
      <c r="N49" s="24">
        <f t="shared" si="44"/>
        <v>1182.6000000000001</v>
      </c>
      <c r="O49" s="24">
        <f t="shared" si="44"/>
        <v>1182.6000000000001</v>
      </c>
      <c r="P49" s="24">
        <f t="shared" si="44"/>
        <v>1182.6000000000001</v>
      </c>
      <c r="Q49" s="24">
        <f t="shared" si="44"/>
        <v>1182.6000000000001</v>
      </c>
      <c r="R49" s="24">
        <f t="shared" si="44"/>
        <v>1182.6000000000001</v>
      </c>
      <c r="S49" s="24">
        <f t="shared" ref="S49:AH49" si="45">SUM(S47:S48)</f>
        <v>1182.6000000000001</v>
      </c>
      <c r="T49" s="24">
        <f t="shared" si="45"/>
        <v>1182.6000000000001</v>
      </c>
      <c r="U49" s="24">
        <f t="shared" si="45"/>
        <v>1182.6000000000001</v>
      </c>
      <c r="V49" s="24">
        <f t="shared" si="45"/>
        <v>1182.6000000000001</v>
      </c>
      <c r="W49" s="24">
        <f t="shared" si="45"/>
        <v>1182.6000000000001</v>
      </c>
      <c r="X49" s="24">
        <f t="shared" si="45"/>
        <v>1182.6000000000001</v>
      </c>
      <c r="Y49" s="24">
        <f t="shared" si="45"/>
        <v>1182.6000000000001</v>
      </c>
      <c r="Z49" s="24">
        <f t="shared" si="45"/>
        <v>1182.6000000000001</v>
      </c>
      <c r="AA49" s="24">
        <f t="shared" si="45"/>
        <v>1182.6000000000001</v>
      </c>
      <c r="AB49" s="24">
        <f t="shared" si="45"/>
        <v>1182.6000000000001</v>
      </c>
      <c r="AC49" s="24">
        <f t="shared" si="45"/>
        <v>1182.6000000000001</v>
      </c>
      <c r="AD49" s="24">
        <f t="shared" si="45"/>
        <v>1182.6000000000001</v>
      </c>
      <c r="AE49" s="24">
        <f t="shared" si="45"/>
        <v>1182.6000000000001</v>
      </c>
      <c r="AF49" s="24">
        <f t="shared" si="45"/>
        <v>1182.6000000000001</v>
      </c>
      <c r="AG49" s="24">
        <f t="shared" si="45"/>
        <v>1182.6000000000001</v>
      </c>
      <c r="AH49" s="24">
        <f t="shared" si="45"/>
        <v>1182.6000000000001</v>
      </c>
      <c r="AI49" s="24">
        <f t="shared" ref="AI49:AO49" si="46">SUM(AI47:AI48)</f>
        <v>1182.6000000000001</v>
      </c>
      <c r="AJ49" s="24">
        <f t="shared" si="46"/>
        <v>1182.6000000000001</v>
      </c>
      <c r="AK49" s="24">
        <f t="shared" si="46"/>
        <v>1182.6000000000001</v>
      </c>
      <c r="AL49" s="24">
        <f t="shared" si="46"/>
        <v>1182.6000000000001</v>
      </c>
      <c r="AM49" s="24">
        <f t="shared" si="46"/>
        <v>1182.6000000000001</v>
      </c>
      <c r="AN49" s="24">
        <f t="shared" si="46"/>
        <v>1182.6000000000001</v>
      </c>
      <c r="AO49" s="25">
        <f t="shared" si="46"/>
        <v>1182.6000000000001</v>
      </c>
    </row>
    <row r="50" spans="1:41" x14ac:dyDescent="0.25">
      <c r="A50" s="9" t="s">
        <v>63</v>
      </c>
      <c r="B50" s="13"/>
      <c r="AO50" s="14"/>
    </row>
    <row r="51" spans="1:41" x14ac:dyDescent="0.25">
      <c r="A51" s="8" t="s">
        <v>64</v>
      </c>
      <c r="B51" s="16">
        <f t="shared" ref="B51:AO51" si="47">B17</f>
        <v>0</v>
      </c>
      <c r="C51" s="2">
        <f t="shared" si="47"/>
        <v>0</v>
      </c>
      <c r="D51" s="2">
        <f t="shared" si="47"/>
        <v>0</v>
      </c>
      <c r="E51" s="2">
        <f t="shared" si="47"/>
        <v>0</v>
      </c>
      <c r="F51" s="2">
        <f t="shared" si="47"/>
        <v>0</v>
      </c>
      <c r="G51" s="2">
        <f t="shared" si="47"/>
        <v>0</v>
      </c>
      <c r="H51" s="2">
        <f t="shared" si="47"/>
        <v>0</v>
      </c>
      <c r="I51" s="63">
        <f t="shared" si="47"/>
        <v>2783.8322665797064</v>
      </c>
      <c r="J51" s="2">
        <f t="shared" si="47"/>
        <v>11135.329066318825</v>
      </c>
      <c r="K51" s="2">
        <f t="shared" si="47"/>
        <v>11135.329066318825</v>
      </c>
      <c r="L51" s="2">
        <f t="shared" si="47"/>
        <v>11135.329066318825</v>
      </c>
      <c r="M51" s="2">
        <f t="shared" si="47"/>
        <v>11135.329066318825</v>
      </c>
      <c r="N51" s="2">
        <f t="shared" si="47"/>
        <v>11135.329066318825</v>
      </c>
      <c r="O51" s="2">
        <f t="shared" si="47"/>
        <v>11135.329066318825</v>
      </c>
      <c r="P51" s="2">
        <f t="shared" si="47"/>
        <v>11135.329066318825</v>
      </c>
      <c r="Q51" s="2">
        <f t="shared" si="47"/>
        <v>11135.329066318825</v>
      </c>
      <c r="R51" s="2">
        <f t="shared" si="47"/>
        <v>11135.329066318825</v>
      </c>
      <c r="S51" s="2">
        <f t="shared" si="47"/>
        <v>11135.329066318825</v>
      </c>
      <c r="T51" s="2">
        <f t="shared" si="47"/>
        <v>11135.329066318825</v>
      </c>
      <c r="U51" s="2">
        <f t="shared" si="47"/>
        <v>11135.329066318825</v>
      </c>
      <c r="V51" s="2">
        <f t="shared" si="47"/>
        <v>11135.329066318825</v>
      </c>
      <c r="W51" s="2">
        <f t="shared" si="47"/>
        <v>11135.329066318825</v>
      </c>
      <c r="X51" s="2">
        <f t="shared" si="47"/>
        <v>11135.329066318825</v>
      </c>
      <c r="Y51" s="2">
        <f t="shared" si="47"/>
        <v>11135.329066318825</v>
      </c>
      <c r="Z51" s="2">
        <f t="shared" si="47"/>
        <v>11135.329066318825</v>
      </c>
      <c r="AA51" s="2">
        <f t="shared" si="47"/>
        <v>11135.329066318825</v>
      </c>
      <c r="AB51" s="2">
        <f t="shared" si="47"/>
        <v>11135.329066318825</v>
      </c>
      <c r="AC51" s="2">
        <f t="shared" si="47"/>
        <v>11135.329066318825</v>
      </c>
      <c r="AD51" s="2">
        <f t="shared" si="47"/>
        <v>11135.329066318825</v>
      </c>
      <c r="AE51" s="2">
        <f t="shared" si="47"/>
        <v>11135.329066318825</v>
      </c>
      <c r="AF51" s="2">
        <f t="shared" si="47"/>
        <v>11135.329066318825</v>
      </c>
      <c r="AG51" s="2">
        <f t="shared" si="47"/>
        <v>11135.329066318825</v>
      </c>
      <c r="AH51" s="2">
        <f t="shared" si="47"/>
        <v>11135.329066318825</v>
      </c>
      <c r="AI51" s="2">
        <f t="shared" si="47"/>
        <v>11135.329066318825</v>
      </c>
      <c r="AJ51" s="2">
        <f t="shared" si="47"/>
        <v>11135.329066318825</v>
      </c>
      <c r="AK51" s="2">
        <f t="shared" si="47"/>
        <v>11135.329066318825</v>
      </c>
      <c r="AL51" s="2">
        <f t="shared" si="47"/>
        <v>11135.329066318825</v>
      </c>
      <c r="AM51" s="2">
        <f t="shared" si="47"/>
        <v>11135.329066318825</v>
      </c>
      <c r="AN51" s="2">
        <f t="shared" si="47"/>
        <v>0</v>
      </c>
      <c r="AO51" s="15">
        <f t="shared" si="47"/>
        <v>0</v>
      </c>
    </row>
    <row r="52" spans="1:41" x14ac:dyDescent="0.25">
      <c r="A52" s="8" t="s">
        <v>65</v>
      </c>
      <c r="B52" s="16">
        <f>B150+B100</f>
        <v>0</v>
      </c>
      <c r="C52" s="2">
        <f t="shared" ref="C52:R52" si="48">C150+C100</f>
        <v>0</v>
      </c>
      <c r="D52" s="2">
        <f t="shared" si="48"/>
        <v>0</v>
      </c>
      <c r="E52" s="2">
        <f t="shared" si="48"/>
        <v>0</v>
      </c>
      <c r="F52" s="2">
        <f t="shared" si="48"/>
        <v>0</v>
      </c>
      <c r="G52" s="2">
        <f t="shared" si="48"/>
        <v>0</v>
      </c>
      <c r="H52" s="2">
        <f t="shared" si="48"/>
        <v>0</v>
      </c>
      <c r="I52" s="63">
        <f t="shared" si="48"/>
        <v>11497.142857142857</v>
      </c>
      <c r="J52" s="2">
        <f t="shared" si="48"/>
        <v>8755.1020408163276</v>
      </c>
      <c r="K52" s="2">
        <f t="shared" si="48"/>
        <v>6796.5014577259471</v>
      </c>
      <c r="L52" s="2">
        <f t="shared" si="48"/>
        <v>5397.5010412328202</v>
      </c>
      <c r="M52" s="2">
        <f t="shared" si="48"/>
        <v>4398.2150294520143</v>
      </c>
      <c r="N52" s="2">
        <f t="shared" si="48"/>
        <v>3684.4393067514393</v>
      </c>
      <c r="O52" s="2">
        <f t="shared" si="48"/>
        <v>3174.5995048224568</v>
      </c>
      <c r="P52" s="2">
        <f t="shared" si="48"/>
        <v>2810.4282177303257</v>
      </c>
      <c r="Q52" s="2">
        <f t="shared" si="48"/>
        <v>2550.305869807376</v>
      </c>
      <c r="R52" s="2">
        <f t="shared" si="48"/>
        <v>3525.7646745184393</v>
      </c>
      <c r="S52" s="2">
        <f t="shared" ref="S52:AH52" si="49">S150+S100</f>
        <v>0</v>
      </c>
      <c r="T52" s="2">
        <f t="shared" si="49"/>
        <v>0</v>
      </c>
      <c r="U52" s="2">
        <f t="shared" si="49"/>
        <v>0</v>
      </c>
      <c r="V52" s="2">
        <f t="shared" si="49"/>
        <v>0</v>
      </c>
      <c r="W52" s="2">
        <f t="shared" si="49"/>
        <v>0</v>
      </c>
      <c r="X52" s="2">
        <f t="shared" si="49"/>
        <v>0</v>
      </c>
      <c r="Y52" s="2">
        <f t="shared" si="49"/>
        <v>0</v>
      </c>
      <c r="Z52" s="2">
        <f t="shared" si="49"/>
        <v>0</v>
      </c>
      <c r="AA52" s="2">
        <f t="shared" si="49"/>
        <v>0</v>
      </c>
      <c r="AB52" s="2">
        <f t="shared" si="49"/>
        <v>0</v>
      </c>
      <c r="AC52" s="2">
        <f t="shared" si="49"/>
        <v>0</v>
      </c>
      <c r="AD52" s="2">
        <f t="shared" si="49"/>
        <v>0</v>
      </c>
      <c r="AE52" s="2">
        <f t="shared" si="49"/>
        <v>0</v>
      </c>
      <c r="AF52" s="2">
        <f t="shared" si="49"/>
        <v>0</v>
      </c>
      <c r="AG52" s="2">
        <f t="shared" si="49"/>
        <v>0</v>
      </c>
      <c r="AH52" s="2">
        <f t="shared" si="49"/>
        <v>0</v>
      </c>
      <c r="AI52" s="2">
        <f>AI150+AI100</f>
        <v>0</v>
      </c>
      <c r="AJ52" s="2">
        <f>AJ150+AJ100</f>
        <v>0</v>
      </c>
      <c r="AK52" s="2">
        <f>AK150+AK100</f>
        <v>0</v>
      </c>
      <c r="AL52" s="2">
        <f>AL150+AL100</f>
        <v>0</v>
      </c>
      <c r="AM52" s="2">
        <f>AM150+AM100</f>
        <v>0</v>
      </c>
      <c r="AN52" s="2">
        <v>0</v>
      </c>
      <c r="AO52" s="15">
        <v>0</v>
      </c>
    </row>
    <row r="53" spans="1:41" x14ac:dyDescent="0.25">
      <c r="A53" s="8" t="s">
        <v>66</v>
      </c>
      <c r="B53" s="16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63">
        <f>0.1*SUM($B$29:I29)</f>
        <v>1666</v>
      </c>
      <c r="J53" s="2">
        <f>0.1*SUM($B$29:J29)</f>
        <v>1666</v>
      </c>
      <c r="K53" s="2">
        <f>0.1*SUM($B$29:K29)</f>
        <v>1666</v>
      </c>
      <c r="L53" s="2">
        <f>0.1*SUM($B$29:L29)</f>
        <v>1666</v>
      </c>
      <c r="M53" s="2">
        <f>0.1*SUM($B$29:M29)</f>
        <v>1666</v>
      </c>
      <c r="N53" s="2">
        <f>0.1*SUM($B$29:N29)</f>
        <v>1666</v>
      </c>
      <c r="O53" s="2">
        <f>0.1*SUM($B$29:O29)</f>
        <v>1666</v>
      </c>
      <c r="P53" s="2">
        <f>0.1*SUM($B$29:P29)</f>
        <v>1666</v>
      </c>
      <c r="Q53" s="2">
        <f>0.1*SUM($B$29:Q29)</f>
        <v>1666</v>
      </c>
      <c r="R53" s="2">
        <f>0.1*SUM($B$29:R29)</f>
        <v>1666</v>
      </c>
      <c r="S53" s="2">
        <f>0.1*SUM(J29:S29)</f>
        <v>0</v>
      </c>
      <c r="T53" s="2">
        <f>0.1*SUM(K29:T29)</f>
        <v>0</v>
      </c>
      <c r="U53" s="2">
        <f t="shared" ref="U53:AI53" si="50">0.1*SUM(L29:U29)</f>
        <v>0</v>
      </c>
      <c r="V53" s="2">
        <f t="shared" si="50"/>
        <v>0</v>
      </c>
      <c r="W53" s="2">
        <f t="shared" si="50"/>
        <v>0</v>
      </c>
      <c r="X53" s="2">
        <f t="shared" si="50"/>
        <v>0</v>
      </c>
      <c r="Y53" s="2">
        <f t="shared" si="50"/>
        <v>0</v>
      </c>
      <c r="Z53" s="2">
        <f t="shared" si="50"/>
        <v>0</v>
      </c>
      <c r="AA53" s="2">
        <f t="shared" si="50"/>
        <v>0</v>
      </c>
      <c r="AB53" s="2">
        <f t="shared" si="50"/>
        <v>0</v>
      </c>
      <c r="AC53" s="2">
        <f t="shared" si="50"/>
        <v>0</v>
      </c>
      <c r="AD53" s="2">
        <f t="shared" si="50"/>
        <v>0</v>
      </c>
      <c r="AE53" s="2">
        <f t="shared" si="50"/>
        <v>0</v>
      </c>
      <c r="AF53" s="2">
        <f t="shared" si="50"/>
        <v>0</v>
      </c>
      <c r="AG53" s="2">
        <f t="shared" si="50"/>
        <v>0</v>
      </c>
      <c r="AH53" s="2">
        <f t="shared" si="50"/>
        <v>0</v>
      </c>
      <c r="AI53" s="2">
        <f t="shared" si="50"/>
        <v>0</v>
      </c>
      <c r="AJ53" s="2">
        <f>0.1*SUM(AA29:AJ29)</f>
        <v>0</v>
      </c>
      <c r="AK53" s="2">
        <f>0.1*SUM(AB29:AK29)</f>
        <v>0</v>
      </c>
      <c r="AL53" s="2">
        <f>0.1*SUM(AC29:AL29)</f>
        <v>0</v>
      </c>
      <c r="AM53" s="2">
        <f>0.1*SUM(AD29:AM29)</f>
        <v>0</v>
      </c>
      <c r="AN53" s="2">
        <v>0</v>
      </c>
      <c r="AO53" s="15">
        <v>0</v>
      </c>
    </row>
    <row r="54" spans="1:41" x14ac:dyDescent="0.25">
      <c r="A54" s="8" t="s">
        <v>67</v>
      </c>
      <c r="B54" s="16">
        <f>B82+B94</f>
        <v>0</v>
      </c>
      <c r="C54" s="2">
        <f t="shared" ref="C54:R54" si="51">C82+C94</f>
        <v>0</v>
      </c>
      <c r="D54" s="2">
        <f t="shared" si="51"/>
        <v>0</v>
      </c>
      <c r="E54" s="2">
        <f t="shared" si="51"/>
        <v>0</v>
      </c>
      <c r="F54" s="2">
        <f t="shared" si="51"/>
        <v>0</v>
      </c>
      <c r="G54" s="2">
        <f t="shared" si="51"/>
        <v>0</v>
      </c>
      <c r="H54" s="2">
        <f t="shared" si="51"/>
        <v>0</v>
      </c>
      <c r="I54" s="63">
        <f t="shared" si="51"/>
        <v>1735.7113046875002</v>
      </c>
      <c r="J54" s="2">
        <f t="shared" si="51"/>
        <v>2420.2143151455821</v>
      </c>
      <c r="K54" s="2">
        <f t="shared" si="51"/>
        <v>2209.9249632174797</v>
      </c>
      <c r="L54" s="2">
        <f t="shared" si="51"/>
        <v>1989.1211436929727</v>
      </c>
      <c r="M54" s="2">
        <f t="shared" si="51"/>
        <v>1757.2771331922404</v>
      </c>
      <c r="N54" s="2">
        <f t="shared" si="51"/>
        <v>1513.8409221664715</v>
      </c>
      <c r="O54" s="2">
        <f t="shared" si="51"/>
        <v>1258.2329005894139</v>
      </c>
      <c r="P54" s="2">
        <f t="shared" si="51"/>
        <v>989.84447793350341</v>
      </c>
      <c r="Q54" s="2">
        <f t="shared" si="51"/>
        <v>708.03663414479752</v>
      </c>
      <c r="R54" s="2">
        <f t="shared" si="51"/>
        <v>412.1383981666562</v>
      </c>
      <c r="S54" s="2">
        <f t="shared" ref="S54:AH54" si="52">S82+S94</f>
        <v>101.44525038960795</v>
      </c>
      <c r="T54" s="2">
        <f t="shared" si="52"/>
        <v>1.9895196601282808E-13</v>
      </c>
      <c r="U54" s="2">
        <f t="shared" si="52"/>
        <v>2.0889956431346944E-13</v>
      </c>
      <c r="V54" s="2">
        <f t="shared" si="52"/>
        <v>2.1934454252914291E-13</v>
      </c>
      <c r="W54" s="2">
        <f t="shared" si="52"/>
        <v>2.3031176965560007E-13</v>
      </c>
      <c r="X54" s="2">
        <f t="shared" si="52"/>
        <v>2.4182735813838006E-13</v>
      </c>
      <c r="Y54" s="2">
        <f t="shared" si="52"/>
        <v>2.5391872604529908E-13</v>
      </c>
      <c r="Z54" s="2">
        <f t="shared" si="52"/>
        <v>2.6661466234756403E-13</v>
      </c>
      <c r="AA54" s="2">
        <f t="shared" si="52"/>
        <v>2.7994539546494221E-13</v>
      </c>
      <c r="AB54" s="2">
        <f t="shared" si="52"/>
        <v>2.9394266523818934E-13</v>
      </c>
      <c r="AC54" s="2">
        <f t="shared" si="52"/>
        <v>3.0863979850009887E-13</v>
      </c>
      <c r="AD54" s="2">
        <f t="shared" si="52"/>
        <v>3.2407178842510375E-13</v>
      </c>
      <c r="AE54" s="2">
        <f t="shared" si="52"/>
        <v>3.4027537784635898E-13</v>
      </c>
      <c r="AF54" s="2">
        <f t="shared" si="52"/>
        <v>3.5728914673867686E-13</v>
      </c>
      <c r="AG54" s="2">
        <f t="shared" si="52"/>
        <v>3.7515360407561069E-13</v>
      </c>
      <c r="AH54" s="2">
        <f t="shared" si="52"/>
        <v>3.9391128427939129E-13</v>
      </c>
      <c r="AI54" s="2">
        <f t="shared" ref="AI54:AO54" si="53">AI82+AI94</f>
        <v>4.1360684849336083E-13</v>
      </c>
      <c r="AJ54" s="2">
        <f t="shared" si="53"/>
        <v>4.3428719091802889E-13</v>
      </c>
      <c r="AK54" s="2">
        <f t="shared" si="53"/>
        <v>4.5600155046393035E-13</v>
      </c>
      <c r="AL54" s="2">
        <f t="shared" si="53"/>
        <v>4.7880162798712677E-13</v>
      </c>
      <c r="AM54" s="2">
        <f t="shared" si="53"/>
        <v>5.027417093864832E-13</v>
      </c>
      <c r="AN54" s="2">
        <f t="shared" si="53"/>
        <v>5.2787879485580727E-13</v>
      </c>
      <c r="AO54" s="15">
        <f t="shared" si="53"/>
        <v>5.5427273459859765E-13</v>
      </c>
    </row>
    <row r="55" spans="1:41" x14ac:dyDescent="0.25">
      <c r="A55" s="8" t="s">
        <v>68</v>
      </c>
      <c r="B55" s="16">
        <f>+B38+B49</f>
        <v>0</v>
      </c>
      <c r="C55" s="2">
        <f t="shared" ref="C55:R55" si="54">+C38+C49</f>
        <v>0</v>
      </c>
      <c r="D55" s="2">
        <f t="shared" si="54"/>
        <v>0</v>
      </c>
      <c r="E55" s="2">
        <f t="shared" si="54"/>
        <v>500</v>
      </c>
      <c r="F55" s="2">
        <f t="shared" si="54"/>
        <v>200</v>
      </c>
      <c r="G55" s="2">
        <f t="shared" si="54"/>
        <v>150</v>
      </c>
      <c r="H55" s="2">
        <f t="shared" si="54"/>
        <v>5150</v>
      </c>
      <c r="I55" s="63">
        <f t="shared" si="54"/>
        <v>5443.1</v>
      </c>
      <c r="J55" s="2">
        <f t="shared" si="54"/>
        <v>1971.0000000000002</v>
      </c>
      <c r="K55" s="2">
        <f t="shared" si="54"/>
        <v>1971.0000000000002</v>
      </c>
      <c r="L55" s="2">
        <f t="shared" si="54"/>
        <v>1971.0000000000002</v>
      </c>
      <c r="M55" s="2">
        <f t="shared" si="54"/>
        <v>1971.0000000000002</v>
      </c>
      <c r="N55" s="2">
        <f t="shared" si="54"/>
        <v>1971.0000000000002</v>
      </c>
      <c r="O55" s="2">
        <f t="shared" si="54"/>
        <v>1971.0000000000002</v>
      </c>
      <c r="P55" s="2">
        <f t="shared" si="54"/>
        <v>1971.0000000000002</v>
      </c>
      <c r="Q55" s="2">
        <f t="shared" si="54"/>
        <v>1971.0000000000002</v>
      </c>
      <c r="R55" s="2">
        <f t="shared" si="54"/>
        <v>1971.0000000000002</v>
      </c>
      <c r="S55" s="2">
        <f t="shared" ref="S55:AH55" si="55">+S38+S49</f>
        <v>1971.0000000000002</v>
      </c>
      <c r="T55" s="2">
        <f t="shared" si="55"/>
        <v>1971.0000000000002</v>
      </c>
      <c r="U55" s="2">
        <f t="shared" si="55"/>
        <v>1971.0000000000002</v>
      </c>
      <c r="V55" s="2">
        <f t="shared" si="55"/>
        <v>1971.0000000000002</v>
      </c>
      <c r="W55" s="2">
        <f t="shared" si="55"/>
        <v>1971.0000000000002</v>
      </c>
      <c r="X55" s="2">
        <f t="shared" si="55"/>
        <v>1971.0000000000002</v>
      </c>
      <c r="Y55" s="2">
        <f t="shared" si="55"/>
        <v>1971.0000000000002</v>
      </c>
      <c r="Z55" s="2">
        <f t="shared" si="55"/>
        <v>1971.0000000000002</v>
      </c>
      <c r="AA55" s="2">
        <f t="shared" si="55"/>
        <v>1971.0000000000002</v>
      </c>
      <c r="AB55" s="2">
        <f t="shared" si="55"/>
        <v>1971.0000000000002</v>
      </c>
      <c r="AC55" s="2">
        <f t="shared" si="55"/>
        <v>1971.0000000000002</v>
      </c>
      <c r="AD55" s="2">
        <f t="shared" si="55"/>
        <v>1971.0000000000002</v>
      </c>
      <c r="AE55" s="2">
        <f t="shared" si="55"/>
        <v>1971.0000000000002</v>
      </c>
      <c r="AF55" s="2">
        <f t="shared" si="55"/>
        <v>1971.0000000000002</v>
      </c>
      <c r="AG55" s="2">
        <f t="shared" si="55"/>
        <v>1971.0000000000002</v>
      </c>
      <c r="AH55" s="2">
        <f t="shared" si="55"/>
        <v>1971.0000000000002</v>
      </c>
      <c r="AI55" s="2">
        <f t="shared" ref="AI55:AO55" si="56">+AI38+AI49</f>
        <v>1971.0000000000002</v>
      </c>
      <c r="AJ55" s="2">
        <f t="shared" si="56"/>
        <v>1971.0000000000002</v>
      </c>
      <c r="AK55" s="2">
        <f t="shared" si="56"/>
        <v>1971.0000000000002</v>
      </c>
      <c r="AL55" s="2">
        <f t="shared" si="56"/>
        <v>1971.0000000000002</v>
      </c>
      <c r="AM55" s="2">
        <f t="shared" si="56"/>
        <v>1971.0000000000002</v>
      </c>
      <c r="AN55" s="2">
        <f t="shared" si="56"/>
        <v>1971.0000000000002</v>
      </c>
      <c r="AO55" s="15">
        <f t="shared" si="56"/>
        <v>1971.0000000000002</v>
      </c>
    </row>
    <row r="56" spans="1:41" x14ac:dyDescent="0.25">
      <c r="A56" s="8" t="s">
        <v>69</v>
      </c>
      <c r="B56" s="16">
        <f>B51-B52-B53-B54-B55</f>
        <v>0</v>
      </c>
      <c r="C56" s="2">
        <f t="shared" ref="C56:R56" si="57">C51-C52-C53-C54-C55</f>
        <v>0</v>
      </c>
      <c r="D56" s="2">
        <f t="shared" si="57"/>
        <v>0</v>
      </c>
      <c r="E56" s="2">
        <f t="shared" si="57"/>
        <v>-500</v>
      </c>
      <c r="F56" s="2">
        <f t="shared" si="57"/>
        <v>-200</v>
      </c>
      <c r="G56" s="2">
        <f t="shared" si="57"/>
        <v>-150</v>
      </c>
      <c r="H56" s="2">
        <f t="shared" si="57"/>
        <v>-5150</v>
      </c>
      <c r="I56" s="63">
        <f t="shared" si="57"/>
        <v>-17558.121895250653</v>
      </c>
      <c r="J56" s="2">
        <f t="shared" si="57"/>
        <v>-3676.9872896430843</v>
      </c>
      <c r="K56" s="2">
        <f t="shared" si="57"/>
        <v>-1508.0973546246016</v>
      </c>
      <c r="L56" s="2">
        <f t="shared" si="57"/>
        <v>111.70688139303252</v>
      </c>
      <c r="M56" s="2">
        <f t="shared" si="57"/>
        <v>1342.8369036745705</v>
      </c>
      <c r="N56" s="2">
        <f t="shared" si="57"/>
        <v>2300.0488374009146</v>
      </c>
      <c r="O56" s="2">
        <f t="shared" si="57"/>
        <v>3065.4966609069543</v>
      </c>
      <c r="P56" s="2">
        <f t="shared" si="57"/>
        <v>3698.0563706549956</v>
      </c>
      <c r="Q56" s="2">
        <f t="shared" si="57"/>
        <v>4239.9865623666519</v>
      </c>
      <c r="R56" s="2">
        <f t="shared" si="57"/>
        <v>3560.4259936337303</v>
      </c>
      <c r="S56" s="2">
        <f t="shared" ref="S56:AH56" si="58">S51-S52-S53-S54-S55</f>
        <v>9062.8838159292172</v>
      </c>
      <c r="T56" s="2">
        <f t="shared" si="58"/>
        <v>9164.3290663188254</v>
      </c>
      <c r="U56" s="2">
        <f t="shared" si="58"/>
        <v>9164.3290663188254</v>
      </c>
      <c r="V56" s="2">
        <f t="shared" si="58"/>
        <v>9164.3290663188254</v>
      </c>
      <c r="W56" s="2">
        <f t="shared" si="58"/>
        <v>9164.3290663188254</v>
      </c>
      <c r="X56" s="2">
        <f t="shared" si="58"/>
        <v>9164.3290663188254</v>
      </c>
      <c r="Y56" s="2">
        <f t="shared" si="58"/>
        <v>9164.3290663188254</v>
      </c>
      <c r="Z56" s="2">
        <f t="shared" si="58"/>
        <v>9164.3290663188254</v>
      </c>
      <c r="AA56" s="2">
        <f t="shared" si="58"/>
        <v>9164.3290663188254</v>
      </c>
      <c r="AB56" s="2">
        <f t="shared" si="58"/>
        <v>9164.3290663188254</v>
      </c>
      <c r="AC56" s="2">
        <f t="shared" si="58"/>
        <v>9164.3290663188254</v>
      </c>
      <c r="AD56" s="2">
        <f t="shared" si="58"/>
        <v>9164.3290663188254</v>
      </c>
      <c r="AE56" s="2">
        <f t="shared" si="58"/>
        <v>9164.3290663188254</v>
      </c>
      <c r="AF56" s="2">
        <f t="shared" si="58"/>
        <v>9164.3290663188254</v>
      </c>
      <c r="AG56" s="2">
        <f t="shared" si="58"/>
        <v>9164.3290663188254</v>
      </c>
      <c r="AH56" s="2">
        <f t="shared" si="58"/>
        <v>9164.3290663188254</v>
      </c>
      <c r="AI56" s="2">
        <f t="shared" ref="AI56:AO56" si="59">AI51-AI52-AI53-AI54-AI55</f>
        <v>9164.3290663188254</v>
      </c>
      <c r="AJ56" s="2">
        <f t="shared" si="59"/>
        <v>9164.3290663188254</v>
      </c>
      <c r="AK56" s="2">
        <f t="shared" si="59"/>
        <v>9164.3290663188254</v>
      </c>
      <c r="AL56" s="2">
        <f t="shared" si="59"/>
        <v>9164.3290663188254</v>
      </c>
      <c r="AM56" s="2">
        <f t="shared" si="59"/>
        <v>9164.3290663188254</v>
      </c>
      <c r="AN56" s="2">
        <f t="shared" si="59"/>
        <v>-1971.0000000000007</v>
      </c>
      <c r="AO56" s="15">
        <f t="shared" si="59"/>
        <v>-1971.0000000000007</v>
      </c>
    </row>
    <row r="57" spans="1:41" ht="13.8" thickBot="1" x14ac:dyDescent="0.3">
      <c r="A57" s="35" t="s">
        <v>70</v>
      </c>
      <c r="B57" s="23">
        <f>IF(B56&lt;0,0,IF(SUM($B$56:B56)&lt;0,0,IF(SUM($B$56:B56)&lt;B56,SUM($B$56:B56)*$N$3,B56*$N$3)))</f>
        <v>0</v>
      </c>
      <c r="C57" s="24">
        <f>IF(C56&lt;0,0,IF(SUM($B$56:C56)&lt;0,0,IF(SUM($B$56:C56)&lt;C56,SUM($B$56:C56)*$N$3,C56*$N$3)))</f>
        <v>0</v>
      </c>
      <c r="D57" s="24">
        <f>IF(D56&lt;0,0,IF(SUM($B$56:D56)&lt;0,0,IF(SUM($D$56:D56)&lt;D56,SUM($D$56:D56)*$N$3,D56*$N$3)))</f>
        <v>0</v>
      </c>
      <c r="E57" s="24">
        <f>IF(E56&lt;0,0,IF(SUM($B$56:E56)&lt;0,0,IF(SUM($D$56:E56)&lt;E56,SUM($D$56:E56)*$N$3,E56*$N$3)))</f>
        <v>0</v>
      </c>
      <c r="F57" s="24">
        <f>IF(F56&lt;0,0,IF(SUM($B$56:F56)&lt;0,0,IF(SUM($D$56:F56)&lt;F56,SUM($D$56:F56)*$N$3,F56*$N$3)))</f>
        <v>0</v>
      </c>
      <c r="G57" s="24">
        <f>IF(G56&lt;0,0,IF(SUM($B$56:G56)&lt;0,0,IF(SUM($D$56:G56)&lt;G56,SUM($D$56:G56)*$N$3,G56*$N$3)))</f>
        <v>0</v>
      </c>
      <c r="H57" s="24">
        <f>IF(H56&lt;0,0,IF(SUM($B$56:H56)&lt;0,0,IF(SUM($D$56:H56)&lt;H56,SUM($D$56:H56)*$N$3,H56*$N$3)))</f>
        <v>0</v>
      </c>
      <c r="I57" s="64">
        <f>IF(I56&lt;0,0,IF(SUM($B$56:I56)&lt;0,0,IF(SUM($D$56:I56)&lt;I56,SUM($D$56:I56)*$N$3,I56*$N$3)))</f>
        <v>0</v>
      </c>
      <c r="J57" s="24">
        <f>IF(J56&lt;0,0,IF(SUM($B$56:J56)&lt;0,0,IF(SUM($D$56:J56)&lt;J56,SUM($D$56:J56)*$N$3,J56*$N$3)))</f>
        <v>0</v>
      </c>
      <c r="K57" s="24">
        <f>IF(K56&lt;0,0,IF(SUM($B$56:K56)&lt;0,0,IF(SUM($D$56:K56)&lt;K56,SUM($D$56:K56)*$N$3,K56*$N$3)))</f>
        <v>0</v>
      </c>
      <c r="L57" s="24">
        <f>IF(L56&lt;0,0,IF(SUM($B$56:L56)&lt;0,0,IF(SUM($D$56:L56)&lt;L56,SUM($D$56:L56)*$N$3,L56*$N$3)))</f>
        <v>0</v>
      </c>
      <c r="M57" s="24">
        <f>IF(M56&lt;0,0,IF(SUM($B$56:M56)&lt;0,0,IF(SUM($D$56:M56)&lt;M56,SUM($D$56:M56)*$N$3,M56*$N$3)))</f>
        <v>0</v>
      </c>
      <c r="N57" s="24">
        <f>IF(N56&lt;0,0,IF(SUM($B$56:N56)&lt;0,0,IF(SUM($D$56:N56)&lt;N56,SUM($D$56:N56)*$N$3,N56*$N$3)))</f>
        <v>0</v>
      </c>
      <c r="O57" s="24">
        <f>IF(O56&lt;0,0,IF(SUM($B$56:O56)&lt;0,0,IF(SUM($D$56:O56)&lt;O56,SUM($D$56:O56)*$N$3,O56*$N$3)))</f>
        <v>0</v>
      </c>
      <c r="P57" s="24">
        <f>IF(P56&lt;0,0,IF(SUM($B$56:P56)&lt;0,0,IF(SUM($D$56:P56)&lt;P56,SUM($D$56:P56)*$N$3,P56*$N$3)))</f>
        <v>0</v>
      </c>
      <c r="Q57" s="24">
        <f>IF(Q56&lt;0,0,IF(SUM($B$56:Q56)&lt;0,0,IF(SUM($D$56:Q56)&lt;Q56,SUM($D$56:Q56)*$N$3,Q56*$N$3)))</f>
        <v>0</v>
      </c>
      <c r="R57" s="24">
        <f>IF(R56&lt;0,0,IF(SUM($B$56:R56)&lt;0,0,IF(SUM($D$56:R56)&lt;R56,SUM($D$56:R56)*$N$3,R56*$N$3)))</f>
        <v>0</v>
      </c>
      <c r="S57" s="24">
        <f>IF(S56&lt;0,0,IF(SUM($B$56:S56)&lt;0,0,IF(SUM($D$56:S56)&lt;S56,SUM($D$56:S56)*$N$3,S56*$N$3)))</f>
        <v>0</v>
      </c>
      <c r="T57" s="24">
        <f>IF(T56&lt;0,0,IF(SUM($B$56:T56)&lt;0,0,IF(SUM($D$56:T56)&lt;T56,SUM($D$56:T56)*$N$3,T56*$N$3)))</f>
        <v>2652.8719479385873</v>
      </c>
      <c r="U57" s="24">
        <f>IF(U56&lt;0,0,IF(SUM($B$56:U56)&lt;0,0,IF(SUM($D$56:U56)&lt;U56,SUM($D$56:U56)*$N$3,U56*$N$3)))</f>
        <v>3115.8718825484007</v>
      </c>
      <c r="V57" s="24">
        <f>IF(V56&lt;0,0,IF(SUM($B$56:V56)&lt;0,0,IF(SUM($D$56:V56)&lt;V56,SUM($D$56:V56)*$N$3,V56*$N$3)))</f>
        <v>3115.8718825484007</v>
      </c>
      <c r="W57" s="24">
        <f>IF(W56&lt;0,0,IF(SUM($B$56:W56)&lt;0,0,IF(SUM($D$56:W56)&lt;W56,SUM($D$56:W56)*$N$3,W56*$N$3)))</f>
        <v>3115.8718825484007</v>
      </c>
      <c r="X57" s="24">
        <f>IF(X56&lt;0,0,IF(SUM($B$56:X56)&lt;0,0,IF(SUM($D$56:X56)&lt;X56,SUM($D$56:X56)*$N$3,X56*$N$3)))</f>
        <v>3115.8718825484007</v>
      </c>
      <c r="Y57" s="24">
        <f>IF(Y56&lt;0,0,IF(SUM($B$56:Y56)&lt;0,0,IF(SUM($D$56:Y56)&lt;Y56,SUM($D$56:Y56)*$N$3,Y56*$N$3)))</f>
        <v>3115.8718825484007</v>
      </c>
      <c r="Z57" s="24">
        <f>IF(Z56&lt;0,0,IF(SUM($B$56:Z56)&lt;0,0,IF(SUM($D$56:Z56)&lt;Z56,SUM($D$56:Z56)*$N$3,Z56*$N$3)))</f>
        <v>3115.8718825484007</v>
      </c>
      <c r="AA57" s="24">
        <f>IF(AA56&lt;0,0,IF(SUM($B$56:AA56)&lt;0,0,IF(SUM($D$56:AA56)&lt;AA56,SUM($D$56:AA56)*$N$3,AA56*$N$3)))</f>
        <v>3115.8718825484007</v>
      </c>
      <c r="AB57" s="24">
        <f>IF(AB56&lt;0,0,IF(SUM($B$56:AB56)&lt;0,0,IF(SUM($D$56:AB56)&lt;AB56,SUM($D$56:AB56)*$N$3,AB56*$N$3)))</f>
        <v>3115.8718825484007</v>
      </c>
      <c r="AC57" s="24">
        <f>IF(AC56&lt;0,0,IF(SUM($B$56:AC56)&lt;0,0,IF(SUM($D$56:AC56)&lt;AC56,SUM($D$56:AC56)*$N$3,AC56*$N$3)))</f>
        <v>3115.8718825484007</v>
      </c>
      <c r="AD57" s="24">
        <f>IF(AD56&lt;0,0,IF(SUM($B$56:AD56)&lt;0,0,IF(SUM($D$56:AD56)&lt;AD56,SUM($D$56:AD56)*$N$3,AD56*$N$3)))</f>
        <v>3115.8718825484007</v>
      </c>
      <c r="AE57" s="24">
        <f>IF(AE56&lt;0,0,IF(SUM($B$56:AE56)&lt;0,0,IF(SUM($D$56:AE56)&lt;AE56,SUM($D$56:AE56)*$N$3,AE56*$N$3)))</f>
        <v>3115.8718825484007</v>
      </c>
      <c r="AF57" s="24">
        <f>IF(AF56&lt;0,0,IF(SUM($B$56:AF56)&lt;0,0,IF(SUM($D$56:AF56)&lt;AF56,SUM($D$56:AF56)*$N$3,AF56*$N$3)))</f>
        <v>3115.8718825484007</v>
      </c>
      <c r="AG57" s="24">
        <f>IF(AG56&lt;0,0,IF(SUM($B$56:AG56)&lt;0,0,IF(SUM($D$56:AG56)&lt;AG56,SUM($D$56:AG56)*$N$3,AG56*$N$3)))</f>
        <v>3115.8718825484007</v>
      </c>
      <c r="AH57" s="24">
        <f>IF(AH56&lt;0,0,IF(SUM($B$56:AH56)&lt;0,0,IF(SUM($D$56:AH56)&lt;AH56,SUM($D$56:AH56)*$N$3,AH56*$N$3)))</f>
        <v>3115.8718825484007</v>
      </c>
      <c r="AI57" s="24">
        <f>IF(AI56&lt;0,0,IF(SUM($B$56:AI56)&lt;0,0,IF(SUM($D$56:AI56)&lt;AI56,SUM($D$56:AI56)*$N$3,AI56*$N$3)))</f>
        <v>3115.8718825484007</v>
      </c>
      <c r="AJ57" s="24">
        <f>IF(AJ56&lt;0,0,IF(SUM($B$56:AJ56)&lt;0,0,IF(SUM($D$56:AJ56)&lt;AJ56,SUM($D$56:AJ56)*$N$3,AJ56*$N$3)))</f>
        <v>3115.8718825484007</v>
      </c>
      <c r="AK57" s="24">
        <f>IF(AK56&lt;0,0,IF(SUM($B$56:AK56)&lt;0,0,IF(SUM($D$56:AK56)&lt;AK56,SUM($D$56:AK56)*$N$3,AK56*$N$3)))</f>
        <v>3115.8718825484007</v>
      </c>
      <c r="AL57" s="24">
        <f>IF(AL56&lt;0,0,IF(SUM($B$56:AL56)&lt;0,0,IF(SUM($D$56:AL56)&lt;AL56,SUM($D$56:AL56)*$N$3,AL56*$N$3)))</f>
        <v>3115.8718825484007</v>
      </c>
      <c r="AM57" s="24">
        <f>IF(AM56&lt;0,0,IF(SUM($B$56:AM56)&lt;0,0,IF(SUM($D$56:AM56)&lt;AM56,SUM($D$56:AM56)*$N$3,AM56*$N$3)))</f>
        <v>3115.8718825484007</v>
      </c>
      <c r="AN57" s="24">
        <f>IF(AN56&lt;0,0,IF(SUM($B$56:AN56)&lt;0,0,IF(SUM($D$56:AN56)&lt;AN56,SUM($D$56:AN56)*$N$3,AN56*$N$3)))</f>
        <v>0</v>
      </c>
      <c r="AO57" s="25">
        <f>IF(AO56&lt;0,0,IF(SUM($B$56:AO56)&lt;0,0,IF(SUM($D$56:AO56)&lt;AO56,SUM($D$56:AO56)*$N$3,AO56*$N$3)))</f>
        <v>0</v>
      </c>
    </row>
    <row r="58" spans="1:41" x14ac:dyDescent="0.25">
      <c r="A58" s="9" t="s">
        <v>71</v>
      </c>
      <c r="B58" s="13"/>
      <c r="AO58" s="14"/>
    </row>
    <row r="59" spans="1:41" x14ac:dyDescent="0.25">
      <c r="A59" s="8" t="s">
        <v>72</v>
      </c>
      <c r="B59" s="16">
        <f>B76+B88</f>
        <v>0</v>
      </c>
      <c r="C59" s="2">
        <f t="shared" ref="C59:R59" si="60">C76+C88</f>
        <v>0</v>
      </c>
      <c r="D59" s="2">
        <f t="shared" si="60"/>
        <v>0</v>
      </c>
      <c r="E59" s="2">
        <f t="shared" si="60"/>
        <v>2275</v>
      </c>
      <c r="F59" s="2">
        <f t="shared" si="60"/>
        <v>3628.333333333333</v>
      </c>
      <c r="G59" s="2">
        <f t="shared" si="60"/>
        <v>6113.3333333333321</v>
      </c>
      <c r="H59" s="2">
        <f t="shared" si="60"/>
        <v>20008.333333333332</v>
      </c>
      <c r="I59" s="63">
        <f t="shared" si="60"/>
        <v>16450</v>
      </c>
      <c r="J59" s="2">
        <f t="shared" si="60"/>
        <v>0</v>
      </c>
      <c r="K59" s="2">
        <f t="shared" si="60"/>
        <v>0</v>
      </c>
      <c r="L59" s="2">
        <f t="shared" si="60"/>
        <v>0</v>
      </c>
      <c r="M59" s="2">
        <f t="shared" si="60"/>
        <v>0</v>
      </c>
      <c r="N59" s="2">
        <f t="shared" si="60"/>
        <v>0</v>
      </c>
      <c r="O59" s="2">
        <f t="shared" si="60"/>
        <v>0</v>
      </c>
      <c r="P59" s="2">
        <f t="shared" si="60"/>
        <v>0</v>
      </c>
      <c r="Q59" s="2">
        <f t="shared" si="60"/>
        <v>0</v>
      </c>
      <c r="R59" s="2">
        <f t="shared" si="60"/>
        <v>0</v>
      </c>
      <c r="S59" s="2">
        <f t="shared" ref="S59:AG59" si="61">S76+S88</f>
        <v>0</v>
      </c>
      <c r="T59" s="2">
        <f t="shared" si="61"/>
        <v>0</v>
      </c>
      <c r="U59" s="2">
        <f t="shared" si="61"/>
        <v>0</v>
      </c>
      <c r="V59" s="2">
        <f t="shared" si="61"/>
        <v>0</v>
      </c>
      <c r="W59" s="2">
        <f t="shared" si="61"/>
        <v>0</v>
      </c>
      <c r="X59" s="2">
        <f t="shared" si="61"/>
        <v>0</v>
      </c>
      <c r="Y59" s="2">
        <f t="shared" si="61"/>
        <v>0</v>
      </c>
      <c r="Z59" s="2">
        <f t="shared" si="61"/>
        <v>0</v>
      </c>
      <c r="AA59" s="2">
        <f t="shared" si="61"/>
        <v>0</v>
      </c>
      <c r="AB59" s="2">
        <f t="shared" si="61"/>
        <v>0</v>
      </c>
      <c r="AC59" s="2">
        <f t="shared" si="61"/>
        <v>0</v>
      </c>
      <c r="AD59" s="2">
        <f t="shared" si="61"/>
        <v>0</v>
      </c>
      <c r="AE59" s="2">
        <f t="shared" si="61"/>
        <v>0</v>
      </c>
      <c r="AF59" s="2">
        <f t="shared" si="61"/>
        <v>0</v>
      </c>
      <c r="AG59" s="2">
        <f t="shared" si="61"/>
        <v>0</v>
      </c>
      <c r="AH59" s="2">
        <f t="shared" ref="AH59:AO59" si="62">AH76+AH88</f>
        <v>0</v>
      </c>
      <c r="AI59" s="2">
        <f t="shared" si="62"/>
        <v>0</v>
      </c>
      <c r="AJ59" s="2">
        <f t="shared" si="62"/>
        <v>0</v>
      </c>
      <c r="AK59" s="2">
        <f t="shared" si="62"/>
        <v>0</v>
      </c>
      <c r="AL59" s="2">
        <f t="shared" si="62"/>
        <v>0</v>
      </c>
      <c r="AM59" s="2">
        <f t="shared" si="62"/>
        <v>0</v>
      </c>
      <c r="AN59" s="2">
        <f t="shared" si="62"/>
        <v>0</v>
      </c>
      <c r="AO59" s="15">
        <f t="shared" si="62"/>
        <v>0</v>
      </c>
    </row>
    <row r="60" spans="1:41" x14ac:dyDescent="0.25">
      <c r="A60" s="8" t="s">
        <v>64</v>
      </c>
      <c r="B60" s="16">
        <f t="shared" ref="B60:AO60" si="63">B17</f>
        <v>0</v>
      </c>
      <c r="C60" s="2">
        <f t="shared" si="63"/>
        <v>0</v>
      </c>
      <c r="D60" s="2">
        <f t="shared" si="63"/>
        <v>0</v>
      </c>
      <c r="E60" s="2">
        <f t="shared" si="63"/>
        <v>0</v>
      </c>
      <c r="F60" s="2">
        <f t="shared" si="63"/>
        <v>0</v>
      </c>
      <c r="G60" s="2">
        <f t="shared" si="63"/>
        <v>0</v>
      </c>
      <c r="H60" s="2">
        <f t="shared" si="63"/>
        <v>0</v>
      </c>
      <c r="I60" s="63">
        <f t="shared" si="63"/>
        <v>2783.8322665797064</v>
      </c>
      <c r="J60" s="2">
        <f t="shared" si="63"/>
        <v>11135.329066318825</v>
      </c>
      <c r="K60" s="2">
        <f t="shared" si="63"/>
        <v>11135.329066318825</v>
      </c>
      <c r="L60" s="2">
        <f t="shared" si="63"/>
        <v>11135.329066318825</v>
      </c>
      <c r="M60" s="2">
        <f t="shared" si="63"/>
        <v>11135.329066318825</v>
      </c>
      <c r="N60" s="2">
        <f t="shared" si="63"/>
        <v>11135.329066318825</v>
      </c>
      <c r="O60" s="2">
        <f t="shared" si="63"/>
        <v>11135.329066318825</v>
      </c>
      <c r="P60" s="2">
        <f t="shared" si="63"/>
        <v>11135.329066318825</v>
      </c>
      <c r="Q60" s="2">
        <f t="shared" si="63"/>
        <v>11135.329066318825</v>
      </c>
      <c r="R60" s="2">
        <f t="shared" si="63"/>
        <v>11135.329066318825</v>
      </c>
      <c r="S60" s="2">
        <f t="shared" si="63"/>
        <v>11135.329066318825</v>
      </c>
      <c r="T60" s="2">
        <f t="shared" si="63"/>
        <v>11135.329066318825</v>
      </c>
      <c r="U60" s="2">
        <f t="shared" si="63"/>
        <v>11135.329066318825</v>
      </c>
      <c r="V60" s="2">
        <f t="shared" si="63"/>
        <v>11135.329066318825</v>
      </c>
      <c r="W60" s="2">
        <f t="shared" si="63"/>
        <v>11135.329066318825</v>
      </c>
      <c r="X60" s="2">
        <f t="shared" si="63"/>
        <v>11135.329066318825</v>
      </c>
      <c r="Y60" s="2">
        <f t="shared" si="63"/>
        <v>11135.329066318825</v>
      </c>
      <c r="Z60" s="2">
        <f t="shared" si="63"/>
        <v>11135.329066318825</v>
      </c>
      <c r="AA60" s="2">
        <f t="shared" si="63"/>
        <v>11135.329066318825</v>
      </c>
      <c r="AB60" s="2">
        <f t="shared" si="63"/>
        <v>11135.329066318825</v>
      </c>
      <c r="AC60" s="2">
        <f t="shared" si="63"/>
        <v>11135.329066318825</v>
      </c>
      <c r="AD60" s="2">
        <f t="shared" si="63"/>
        <v>11135.329066318825</v>
      </c>
      <c r="AE60" s="2">
        <f t="shared" si="63"/>
        <v>11135.329066318825</v>
      </c>
      <c r="AF60" s="2">
        <f t="shared" si="63"/>
        <v>11135.329066318825</v>
      </c>
      <c r="AG60" s="2">
        <f t="shared" si="63"/>
        <v>11135.329066318825</v>
      </c>
      <c r="AH60" s="2">
        <f t="shared" si="63"/>
        <v>11135.329066318825</v>
      </c>
      <c r="AI60" s="2">
        <f t="shared" si="63"/>
        <v>11135.329066318825</v>
      </c>
      <c r="AJ60" s="2">
        <f t="shared" si="63"/>
        <v>11135.329066318825</v>
      </c>
      <c r="AK60" s="2">
        <f t="shared" si="63"/>
        <v>11135.329066318825</v>
      </c>
      <c r="AL60" s="2">
        <f t="shared" si="63"/>
        <v>11135.329066318825</v>
      </c>
      <c r="AM60" s="2">
        <f t="shared" si="63"/>
        <v>11135.329066318825</v>
      </c>
      <c r="AN60" s="2">
        <f t="shared" si="63"/>
        <v>0</v>
      </c>
      <c r="AO60" s="15">
        <f t="shared" si="63"/>
        <v>0</v>
      </c>
    </row>
    <row r="61" spans="1:41" x14ac:dyDescent="0.25">
      <c r="A61" s="8" t="s">
        <v>73</v>
      </c>
      <c r="B61" s="16">
        <f>B28+B45</f>
        <v>0</v>
      </c>
      <c r="C61" s="2">
        <f t="shared" ref="C61:R61" si="64">C28+C45</f>
        <v>0</v>
      </c>
      <c r="D61" s="2">
        <f t="shared" si="64"/>
        <v>0</v>
      </c>
      <c r="E61" s="2">
        <f t="shared" si="64"/>
        <v>3250</v>
      </c>
      <c r="F61" s="2">
        <f t="shared" si="64"/>
        <v>5183.333333333333</v>
      </c>
      <c r="G61" s="2">
        <f t="shared" si="64"/>
        <v>8733.3333333333321</v>
      </c>
      <c r="H61" s="2">
        <f t="shared" si="64"/>
        <v>28583.333333333332</v>
      </c>
      <c r="I61" s="63">
        <f t="shared" si="64"/>
        <v>23500</v>
      </c>
      <c r="J61" s="2">
        <f t="shared" si="64"/>
        <v>0</v>
      </c>
      <c r="K61" s="2">
        <f t="shared" si="64"/>
        <v>0</v>
      </c>
      <c r="L61" s="2">
        <f t="shared" si="64"/>
        <v>0</v>
      </c>
      <c r="M61" s="2">
        <f t="shared" si="64"/>
        <v>0</v>
      </c>
      <c r="N61" s="2">
        <f t="shared" si="64"/>
        <v>0</v>
      </c>
      <c r="O61" s="2">
        <f t="shared" si="64"/>
        <v>0</v>
      </c>
      <c r="P61" s="2">
        <f t="shared" si="64"/>
        <v>0</v>
      </c>
      <c r="Q61" s="2">
        <f t="shared" si="64"/>
        <v>0</v>
      </c>
      <c r="R61" s="2">
        <f t="shared" si="64"/>
        <v>0</v>
      </c>
      <c r="S61" s="2">
        <f t="shared" ref="S61:AH61" si="65">S28+S45</f>
        <v>0</v>
      </c>
      <c r="T61" s="2">
        <f t="shared" si="65"/>
        <v>0</v>
      </c>
      <c r="U61" s="2">
        <f t="shared" si="65"/>
        <v>0</v>
      </c>
      <c r="V61" s="2">
        <f t="shared" si="65"/>
        <v>0</v>
      </c>
      <c r="W61" s="2">
        <f t="shared" si="65"/>
        <v>0</v>
      </c>
      <c r="X61" s="2">
        <f t="shared" si="65"/>
        <v>0</v>
      </c>
      <c r="Y61" s="2">
        <f t="shared" si="65"/>
        <v>0</v>
      </c>
      <c r="Z61" s="2">
        <f t="shared" si="65"/>
        <v>0</v>
      </c>
      <c r="AA61" s="2">
        <f t="shared" si="65"/>
        <v>0</v>
      </c>
      <c r="AB61" s="2">
        <f t="shared" si="65"/>
        <v>0</v>
      </c>
      <c r="AC61" s="2">
        <f t="shared" si="65"/>
        <v>0</v>
      </c>
      <c r="AD61" s="2">
        <f t="shared" si="65"/>
        <v>0</v>
      </c>
      <c r="AE61" s="2">
        <f t="shared" si="65"/>
        <v>0</v>
      </c>
      <c r="AF61" s="2">
        <f t="shared" si="65"/>
        <v>0</v>
      </c>
      <c r="AG61" s="2">
        <f t="shared" si="65"/>
        <v>0</v>
      </c>
      <c r="AH61" s="2">
        <f t="shared" si="65"/>
        <v>0</v>
      </c>
      <c r="AI61" s="2">
        <f t="shared" ref="AI61:AO61" si="66">AI28+AI45</f>
        <v>0</v>
      </c>
      <c r="AJ61" s="2">
        <f t="shared" si="66"/>
        <v>0</v>
      </c>
      <c r="AK61" s="2">
        <f t="shared" si="66"/>
        <v>0</v>
      </c>
      <c r="AL61" s="2">
        <f t="shared" si="66"/>
        <v>0</v>
      </c>
      <c r="AM61" s="2">
        <f t="shared" si="66"/>
        <v>0</v>
      </c>
      <c r="AN61" s="2">
        <f t="shared" si="66"/>
        <v>0</v>
      </c>
      <c r="AO61" s="15">
        <f t="shared" si="66"/>
        <v>0</v>
      </c>
    </row>
    <row r="62" spans="1:41" x14ac:dyDescent="0.25">
      <c r="A62" s="8" t="s">
        <v>74</v>
      </c>
      <c r="B62" s="16">
        <f>B38+B49</f>
        <v>0</v>
      </c>
      <c r="C62" s="2">
        <f t="shared" ref="C62:R62" si="67">C38+C49</f>
        <v>0</v>
      </c>
      <c r="D62" s="2">
        <f t="shared" si="67"/>
        <v>0</v>
      </c>
      <c r="E62" s="2">
        <f t="shared" si="67"/>
        <v>500</v>
      </c>
      <c r="F62" s="2">
        <f t="shared" si="67"/>
        <v>200</v>
      </c>
      <c r="G62" s="2">
        <f t="shared" si="67"/>
        <v>150</v>
      </c>
      <c r="H62" s="2">
        <f t="shared" si="67"/>
        <v>5150</v>
      </c>
      <c r="I62" s="63">
        <f t="shared" si="67"/>
        <v>5443.1</v>
      </c>
      <c r="J62" s="2">
        <f t="shared" si="67"/>
        <v>1971.0000000000002</v>
      </c>
      <c r="K62" s="2">
        <f t="shared" si="67"/>
        <v>1971.0000000000002</v>
      </c>
      <c r="L62" s="2">
        <f t="shared" si="67"/>
        <v>1971.0000000000002</v>
      </c>
      <c r="M62" s="2">
        <f t="shared" si="67"/>
        <v>1971.0000000000002</v>
      </c>
      <c r="N62" s="2">
        <f t="shared" si="67"/>
        <v>1971.0000000000002</v>
      </c>
      <c r="O62" s="2">
        <f t="shared" si="67"/>
        <v>1971.0000000000002</v>
      </c>
      <c r="P62" s="2">
        <f t="shared" si="67"/>
        <v>1971.0000000000002</v>
      </c>
      <c r="Q62" s="2">
        <f t="shared" si="67"/>
        <v>1971.0000000000002</v>
      </c>
      <c r="R62" s="2">
        <f t="shared" si="67"/>
        <v>1971.0000000000002</v>
      </c>
      <c r="S62" s="2">
        <f t="shared" ref="S62:AH62" si="68">S38+S49</f>
        <v>1971.0000000000002</v>
      </c>
      <c r="T62" s="2">
        <f t="shared" si="68"/>
        <v>1971.0000000000002</v>
      </c>
      <c r="U62" s="2">
        <f t="shared" si="68"/>
        <v>1971.0000000000002</v>
      </c>
      <c r="V62" s="2">
        <f t="shared" si="68"/>
        <v>1971.0000000000002</v>
      </c>
      <c r="W62" s="2">
        <f t="shared" si="68"/>
        <v>1971.0000000000002</v>
      </c>
      <c r="X62" s="2">
        <f t="shared" si="68"/>
        <v>1971.0000000000002</v>
      </c>
      <c r="Y62" s="2">
        <f t="shared" si="68"/>
        <v>1971.0000000000002</v>
      </c>
      <c r="Z62" s="2">
        <f t="shared" si="68"/>
        <v>1971.0000000000002</v>
      </c>
      <c r="AA62" s="2">
        <f t="shared" si="68"/>
        <v>1971.0000000000002</v>
      </c>
      <c r="AB62" s="2">
        <f t="shared" si="68"/>
        <v>1971.0000000000002</v>
      </c>
      <c r="AC62" s="2">
        <f t="shared" si="68"/>
        <v>1971.0000000000002</v>
      </c>
      <c r="AD62" s="2">
        <f t="shared" si="68"/>
        <v>1971.0000000000002</v>
      </c>
      <c r="AE62" s="2">
        <f t="shared" si="68"/>
        <v>1971.0000000000002</v>
      </c>
      <c r="AF62" s="2">
        <f t="shared" si="68"/>
        <v>1971.0000000000002</v>
      </c>
      <c r="AG62" s="2">
        <f t="shared" si="68"/>
        <v>1971.0000000000002</v>
      </c>
      <c r="AH62" s="2">
        <f t="shared" si="68"/>
        <v>1971.0000000000002</v>
      </c>
      <c r="AI62" s="2">
        <f t="shared" ref="AI62:AO62" si="69">AI38+AI49</f>
        <v>1971.0000000000002</v>
      </c>
      <c r="AJ62" s="2">
        <f t="shared" si="69"/>
        <v>1971.0000000000002</v>
      </c>
      <c r="AK62" s="2">
        <f t="shared" si="69"/>
        <v>1971.0000000000002</v>
      </c>
      <c r="AL62" s="2">
        <f t="shared" si="69"/>
        <v>1971.0000000000002</v>
      </c>
      <c r="AM62" s="2">
        <f t="shared" si="69"/>
        <v>1971.0000000000002</v>
      </c>
      <c r="AN62" s="2">
        <f t="shared" si="69"/>
        <v>1971.0000000000002</v>
      </c>
      <c r="AO62" s="15">
        <f t="shared" si="69"/>
        <v>1971.0000000000002</v>
      </c>
    </row>
    <row r="63" spans="1:41" x14ac:dyDescent="0.25">
      <c r="A63" s="8" t="s">
        <v>75</v>
      </c>
      <c r="B63" s="16">
        <f>B82+B94</f>
        <v>0</v>
      </c>
      <c r="C63" s="2">
        <f t="shared" ref="C63:R63" si="70">C82+C94</f>
        <v>0</v>
      </c>
      <c r="D63" s="2">
        <f t="shared" si="70"/>
        <v>0</v>
      </c>
      <c r="E63" s="2">
        <f t="shared" si="70"/>
        <v>0</v>
      </c>
      <c r="F63" s="2">
        <f t="shared" si="70"/>
        <v>0</v>
      </c>
      <c r="G63" s="2">
        <f t="shared" si="70"/>
        <v>0</v>
      </c>
      <c r="H63" s="2">
        <f t="shared" si="70"/>
        <v>0</v>
      </c>
      <c r="I63" s="63">
        <f t="shared" si="70"/>
        <v>1735.7113046875002</v>
      </c>
      <c r="J63" s="2">
        <f t="shared" si="70"/>
        <v>2420.2143151455821</v>
      </c>
      <c r="K63" s="2">
        <f t="shared" si="70"/>
        <v>2209.9249632174797</v>
      </c>
      <c r="L63" s="2">
        <f t="shared" si="70"/>
        <v>1989.1211436929727</v>
      </c>
      <c r="M63" s="2">
        <f t="shared" si="70"/>
        <v>1757.2771331922404</v>
      </c>
      <c r="N63" s="2">
        <f t="shared" si="70"/>
        <v>1513.8409221664715</v>
      </c>
      <c r="O63" s="2">
        <f t="shared" si="70"/>
        <v>1258.2329005894139</v>
      </c>
      <c r="P63" s="2">
        <f t="shared" si="70"/>
        <v>989.84447793350341</v>
      </c>
      <c r="Q63" s="2">
        <f t="shared" si="70"/>
        <v>708.03663414479752</v>
      </c>
      <c r="R63" s="2">
        <f t="shared" si="70"/>
        <v>412.1383981666562</v>
      </c>
      <c r="S63" s="2">
        <f t="shared" ref="S63:AH63" si="71">S82+S94</f>
        <v>101.44525038960795</v>
      </c>
      <c r="T63" s="2">
        <f t="shared" si="71"/>
        <v>1.9895196601282808E-13</v>
      </c>
      <c r="U63" s="2">
        <f t="shared" si="71"/>
        <v>2.0889956431346944E-13</v>
      </c>
      <c r="V63" s="2">
        <f t="shared" si="71"/>
        <v>2.1934454252914291E-13</v>
      </c>
      <c r="W63" s="2">
        <f t="shared" si="71"/>
        <v>2.3031176965560007E-13</v>
      </c>
      <c r="X63" s="2">
        <f t="shared" si="71"/>
        <v>2.4182735813838006E-13</v>
      </c>
      <c r="Y63" s="2">
        <f t="shared" si="71"/>
        <v>2.5391872604529908E-13</v>
      </c>
      <c r="Z63" s="2">
        <f t="shared" si="71"/>
        <v>2.6661466234756403E-13</v>
      </c>
      <c r="AA63" s="2">
        <f t="shared" si="71"/>
        <v>2.7994539546494221E-13</v>
      </c>
      <c r="AB63" s="2">
        <f t="shared" si="71"/>
        <v>2.9394266523818934E-13</v>
      </c>
      <c r="AC63" s="2">
        <f t="shared" si="71"/>
        <v>3.0863979850009887E-13</v>
      </c>
      <c r="AD63" s="2">
        <f t="shared" si="71"/>
        <v>3.2407178842510375E-13</v>
      </c>
      <c r="AE63" s="2">
        <f t="shared" si="71"/>
        <v>3.4027537784635898E-13</v>
      </c>
      <c r="AF63" s="2">
        <f t="shared" si="71"/>
        <v>3.5728914673867686E-13</v>
      </c>
      <c r="AG63" s="2">
        <f t="shared" si="71"/>
        <v>3.7515360407561069E-13</v>
      </c>
      <c r="AH63" s="2">
        <f t="shared" si="71"/>
        <v>3.9391128427939129E-13</v>
      </c>
      <c r="AI63" s="2">
        <f t="shared" ref="AI63:AO63" si="72">AI82+AI94</f>
        <v>4.1360684849336083E-13</v>
      </c>
      <c r="AJ63" s="2">
        <f t="shared" si="72"/>
        <v>4.3428719091802889E-13</v>
      </c>
      <c r="AK63" s="2">
        <f t="shared" si="72"/>
        <v>4.5600155046393035E-13</v>
      </c>
      <c r="AL63" s="2">
        <f t="shared" si="72"/>
        <v>4.7880162798712677E-13</v>
      </c>
      <c r="AM63" s="2">
        <f t="shared" si="72"/>
        <v>5.027417093864832E-13</v>
      </c>
      <c r="AN63" s="2">
        <f t="shared" si="72"/>
        <v>5.2787879485580727E-13</v>
      </c>
      <c r="AO63" s="15">
        <f t="shared" si="72"/>
        <v>5.5427273459859765E-13</v>
      </c>
    </row>
    <row r="64" spans="1:41" x14ac:dyDescent="0.25">
      <c r="A64" s="8" t="s">
        <v>76</v>
      </c>
      <c r="B64" s="16">
        <f t="shared" ref="B64:AO64" si="73">B57</f>
        <v>0</v>
      </c>
      <c r="C64" s="2">
        <f t="shared" si="73"/>
        <v>0</v>
      </c>
      <c r="D64" s="2">
        <f t="shared" si="73"/>
        <v>0</v>
      </c>
      <c r="E64" s="2">
        <f t="shared" si="73"/>
        <v>0</v>
      </c>
      <c r="F64" s="2">
        <f t="shared" si="73"/>
        <v>0</v>
      </c>
      <c r="G64" s="2">
        <f t="shared" si="73"/>
        <v>0</v>
      </c>
      <c r="H64" s="2">
        <f t="shared" si="73"/>
        <v>0</v>
      </c>
      <c r="I64" s="63">
        <f t="shared" si="73"/>
        <v>0</v>
      </c>
      <c r="J64" s="2">
        <f t="shared" si="73"/>
        <v>0</v>
      </c>
      <c r="K64" s="2">
        <f t="shared" si="73"/>
        <v>0</v>
      </c>
      <c r="L64" s="2">
        <f t="shared" si="73"/>
        <v>0</v>
      </c>
      <c r="M64" s="2">
        <f t="shared" si="73"/>
        <v>0</v>
      </c>
      <c r="N64" s="2">
        <f t="shared" si="73"/>
        <v>0</v>
      </c>
      <c r="O64" s="2">
        <f t="shared" si="73"/>
        <v>0</v>
      </c>
      <c r="P64" s="2">
        <f t="shared" si="73"/>
        <v>0</v>
      </c>
      <c r="Q64" s="2">
        <f t="shared" si="73"/>
        <v>0</v>
      </c>
      <c r="R64" s="2">
        <f t="shared" si="73"/>
        <v>0</v>
      </c>
      <c r="S64" s="2">
        <f t="shared" si="73"/>
        <v>0</v>
      </c>
      <c r="T64" s="2">
        <f t="shared" si="73"/>
        <v>2652.8719479385873</v>
      </c>
      <c r="U64" s="2">
        <f t="shared" si="73"/>
        <v>3115.8718825484007</v>
      </c>
      <c r="V64" s="2">
        <f t="shared" si="73"/>
        <v>3115.8718825484007</v>
      </c>
      <c r="W64" s="2">
        <f t="shared" si="73"/>
        <v>3115.8718825484007</v>
      </c>
      <c r="X64" s="2">
        <f t="shared" si="73"/>
        <v>3115.8718825484007</v>
      </c>
      <c r="Y64" s="2">
        <f t="shared" si="73"/>
        <v>3115.8718825484007</v>
      </c>
      <c r="Z64" s="2">
        <f t="shared" si="73"/>
        <v>3115.8718825484007</v>
      </c>
      <c r="AA64" s="2">
        <f t="shared" si="73"/>
        <v>3115.8718825484007</v>
      </c>
      <c r="AB64" s="2">
        <f t="shared" si="73"/>
        <v>3115.8718825484007</v>
      </c>
      <c r="AC64" s="2">
        <f t="shared" si="73"/>
        <v>3115.8718825484007</v>
      </c>
      <c r="AD64" s="2">
        <f t="shared" si="73"/>
        <v>3115.8718825484007</v>
      </c>
      <c r="AE64" s="2">
        <f t="shared" si="73"/>
        <v>3115.8718825484007</v>
      </c>
      <c r="AF64" s="2">
        <f t="shared" si="73"/>
        <v>3115.8718825484007</v>
      </c>
      <c r="AG64" s="2">
        <f t="shared" si="73"/>
        <v>3115.8718825484007</v>
      </c>
      <c r="AH64" s="2">
        <f t="shared" si="73"/>
        <v>3115.8718825484007</v>
      </c>
      <c r="AI64" s="2">
        <f t="shared" si="73"/>
        <v>3115.8718825484007</v>
      </c>
      <c r="AJ64" s="2">
        <f t="shared" si="73"/>
        <v>3115.8718825484007</v>
      </c>
      <c r="AK64" s="2">
        <f t="shared" si="73"/>
        <v>3115.8718825484007</v>
      </c>
      <c r="AL64" s="2">
        <f t="shared" si="73"/>
        <v>3115.8718825484007</v>
      </c>
      <c r="AM64" s="2">
        <f t="shared" si="73"/>
        <v>3115.8718825484007</v>
      </c>
      <c r="AN64" s="2">
        <f t="shared" si="73"/>
        <v>0</v>
      </c>
      <c r="AO64" s="15">
        <f t="shared" si="73"/>
        <v>0</v>
      </c>
    </row>
    <row r="65" spans="1:46" x14ac:dyDescent="0.25">
      <c r="A65" s="8" t="s">
        <v>77</v>
      </c>
      <c r="B65" s="16">
        <f>B83+B95</f>
        <v>0</v>
      </c>
      <c r="C65" s="2">
        <f t="shared" ref="C65:R65" si="74">C83+C95</f>
        <v>0</v>
      </c>
      <c r="D65" s="2">
        <f t="shared" si="74"/>
        <v>0</v>
      </c>
      <c r="E65" s="2">
        <f t="shared" si="74"/>
        <v>0</v>
      </c>
      <c r="F65" s="2">
        <f t="shared" si="74"/>
        <v>0</v>
      </c>
      <c r="G65" s="2">
        <f t="shared" si="74"/>
        <v>0</v>
      </c>
      <c r="H65" s="2">
        <f t="shared" si="74"/>
        <v>0</v>
      </c>
      <c r="I65" s="63">
        <f t="shared" si="74"/>
        <v>2759.9397908383598</v>
      </c>
      <c r="J65" s="2">
        <f t="shared" si="74"/>
        <v>4205.7870385620408</v>
      </c>
      <c r="K65" s="2">
        <f t="shared" si="74"/>
        <v>4416.0763904901423</v>
      </c>
      <c r="L65" s="2">
        <f t="shared" si="74"/>
        <v>4636.8802100146495</v>
      </c>
      <c r="M65" s="2">
        <f t="shared" si="74"/>
        <v>4868.7242205153816</v>
      </c>
      <c r="N65" s="2">
        <f t="shared" si="74"/>
        <v>5112.1604315411505</v>
      </c>
      <c r="O65" s="2">
        <f t="shared" si="74"/>
        <v>5367.7684531182085</v>
      </c>
      <c r="P65" s="2">
        <f t="shared" si="74"/>
        <v>5636.1568757741188</v>
      </c>
      <c r="Q65" s="2">
        <f t="shared" si="74"/>
        <v>5917.964719562824</v>
      </c>
      <c r="R65" s="2">
        <f t="shared" si="74"/>
        <v>6213.8629555409661</v>
      </c>
      <c r="S65" s="2">
        <f t="shared" ref="S65:AH65" si="75">S83+S95</f>
        <v>2028.9050077921547</v>
      </c>
      <c r="T65" s="2">
        <f t="shared" si="75"/>
        <v>-1.9895196601282808E-13</v>
      </c>
      <c r="U65" s="2">
        <f t="shared" si="75"/>
        <v>-2.0889956431346944E-13</v>
      </c>
      <c r="V65" s="2">
        <f t="shared" si="75"/>
        <v>-2.1934454252914291E-13</v>
      </c>
      <c r="W65" s="2">
        <f t="shared" si="75"/>
        <v>-2.3031176965560007E-13</v>
      </c>
      <c r="X65" s="2">
        <f t="shared" si="75"/>
        <v>-2.4182735813838006E-13</v>
      </c>
      <c r="Y65" s="2">
        <f t="shared" si="75"/>
        <v>-2.5391872604529908E-13</v>
      </c>
      <c r="Z65" s="2">
        <f t="shared" si="75"/>
        <v>-2.6661466234756403E-13</v>
      </c>
      <c r="AA65" s="2">
        <f t="shared" si="75"/>
        <v>-2.7994539546494221E-13</v>
      </c>
      <c r="AB65" s="2">
        <f t="shared" si="75"/>
        <v>-2.9394266523818934E-13</v>
      </c>
      <c r="AC65" s="2">
        <f t="shared" si="75"/>
        <v>-3.0863979850009887E-13</v>
      </c>
      <c r="AD65" s="2">
        <f t="shared" si="75"/>
        <v>-3.2407178842510375E-13</v>
      </c>
      <c r="AE65" s="2">
        <f t="shared" si="75"/>
        <v>-3.4027537784635898E-13</v>
      </c>
      <c r="AF65" s="2">
        <f t="shared" si="75"/>
        <v>-3.5728914673867686E-13</v>
      </c>
      <c r="AG65" s="2">
        <f t="shared" si="75"/>
        <v>-3.7515360407561069E-13</v>
      </c>
      <c r="AH65" s="2">
        <f t="shared" si="75"/>
        <v>-3.9391128427939129E-13</v>
      </c>
      <c r="AI65" s="2">
        <f t="shared" ref="AI65:AO65" si="76">AI83+AI95</f>
        <v>-4.1360684849336083E-13</v>
      </c>
      <c r="AJ65" s="2">
        <f t="shared" si="76"/>
        <v>-4.3428719091802889E-13</v>
      </c>
      <c r="AK65" s="2">
        <f t="shared" si="76"/>
        <v>-4.5600155046393035E-13</v>
      </c>
      <c r="AL65" s="2">
        <f t="shared" si="76"/>
        <v>-4.7880162798712677E-13</v>
      </c>
      <c r="AM65" s="2">
        <f t="shared" si="76"/>
        <v>-5.027417093864832E-13</v>
      </c>
      <c r="AN65" s="2">
        <f t="shared" si="76"/>
        <v>-5.2787879485580727E-13</v>
      </c>
      <c r="AO65" s="15">
        <f t="shared" si="76"/>
        <v>-5.5427273459859765E-13</v>
      </c>
    </row>
    <row r="66" spans="1:46" ht="13.8" thickBot="1" x14ac:dyDescent="0.3">
      <c r="A66" s="8"/>
      <c r="B66" s="16"/>
      <c r="C66" s="2"/>
      <c r="D66" s="2"/>
      <c r="E66" s="2"/>
      <c r="F66" s="2"/>
      <c r="G66" s="2"/>
      <c r="H66" s="2"/>
      <c r="I66" s="6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15"/>
    </row>
    <row r="67" spans="1:46" x14ac:dyDescent="0.25">
      <c r="A67" s="51" t="s">
        <v>102</v>
      </c>
      <c r="B67" s="30">
        <f>B59+B60-SUM(B61:B66)</f>
        <v>0</v>
      </c>
      <c r="C67" s="31">
        <f t="shared" ref="C67:R67" si="77">C59+C60-SUM(C61:C66)</f>
        <v>0</v>
      </c>
      <c r="D67" s="31">
        <f t="shared" si="77"/>
        <v>0</v>
      </c>
      <c r="E67" s="31">
        <f t="shared" si="77"/>
        <v>-1475</v>
      </c>
      <c r="F67" s="31">
        <f t="shared" si="77"/>
        <v>-1755</v>
      </c>
      <c r="G67" s="31">
        <f t="shared" si="77"/>
        <v>-2770</v>
      </c>
      <c r="H67" s="31">
        <f t="shared" si="77"/>
        <v>-13724.999999999996</v>
      </c>
      <c r="I67" s="68">
        <f t="shared" si="77"/>
        <v>-14204.918828946156</v>
      </c>
      <c r="J67" s="31">
        <f t="shared" si="77"/>
        <v>2538.3277126112025</v>
      </c>
      <c r="K67" s="31">
        <f t="shared" si="77"/>
        <v>2538.3277126112025</v>
      </c>
      <c r="L67" s="31">
        <f t="shared" si="77"/>
        <v>2538.3277126112025</v>
      </c>
      <c r="M67" s="31">
        <f t="shared" si="77"/>
        <v>2538.3277126112025</v>
      </c>
      <c r="N67" s="31">
        <f t="shared" si="77"/>
        <v>2538.3277126112025</v>
      </c>
      <c r="O67" s="31">
        <f t="shared" si="77"/>
        <v>2538.3277126112025</v>
      </c>
      <c r="P67" s="31">
        <f t="shared" si="77"/>
        <v>2538.3277126112025</v>
      </c>
      <c r="Q67" s="31">
        <f t="shared" si="77"/>
        <v>2538.3277126112025</v>
      </c>
      <c r="R67" s="31">
        <f t="shared" si="77"/>
        <v>2538.3277126112025</v>
      </c>
      <c r="S67" s="31">
        <f t="shared" ref="S67:AH67" si="78">S59+S60-SUM(S61:S66)</f>
        <v>7033.9788081370625</v>
      </c>
      <c r="T67" s="31">
        <f t="shared" si="78"/>
        <v>6511.4571183802382</v>
      </c>
      <c r="U67" s="31">
        <f t="shared" si="78"/>
        <v>6048.4571837704243</v>
      </c>
      <c r="V67" s="31">
        <f t="shared" si="78"/>
        <v>6048.4571837704243</v>
      </c>
      <c r="W67" s="31">
        <f t="shared" si="78"/>
        <v>6048.4571837704243</v>
      </c>
      <c r="X67" s="31">
        <f t="shared" si="78"/>
        <v>6048.4571837704243</v>
      </c>
      <c r="Y67" s="31">
        <f t="shared" si="78"/>
        <v>6048.4571837704243</v>
      </c>
      <c r="Z67" s="31">
        <f t="shared" si="78"/>
        <v>6048.4571837704243</v>
      </c>
      <c r="AA67" s="31">
        <f t="shared" si="78"/>
        <v>6048.4571837704243</v>
      </c>
      <c r="AB67" s="31">
        <f t="shared" si="78"/>
        <v>6048.4571837704243</v>
      </c>
      <c r="AC67" s="31">
        <f t="shared" si="78"/>
        <v>6048.4571837704243</v>
      </c>
      <c r="AD67" s="31">
        <f t="shared" si="78"/>
        <v>6048.4571837704243</v>
      </c>
      <c r="AE67" s="31">
        <f t="shared" si="78"/>
        <v>6048.4571837704243</v>
      </c>
      <c r="AF67" s="31">
        <f t="shared" si="78"/>
        <v>6048.4571837704243</v>
      </c>
      <c r="AG67" s="31">
        <f t="shared" si="78"/>
        <v>6048.4571837704243</v>
      </c>
      <c r="AH67" s="31">
        <f t="shared" si="78"/>
        <v>6048.4571837704243</v>
      </c>
      <c r="AI67" s="31">
        <f t="shared" ref="AI67:AO67" si="79">AI59+AI60-SUM(AI61:AI66)</f>
        <v>6048.4571837704243</v>
      </c>
      <c r="AJ67" s="31">
        <f t="shared" si="79"/>
        <v>6048.4571837704243</v>
      </c>
      <c r="AK67" s="31">
        <f t="shared" si="79"/>
        <v>6048.4571837704252</v>
      </c>
      <c r="AL67" s="31">
        <f t="shared" si="79"/>
        <v>6048.4571837704252</v>
      </c>
      <c r="AM67" s="31">
        <f t="shared" si="79"/>
        <v>6048.4571837704252</v>
      </c>
      <c r="AN67" s="31">
        <f t="shared" si="79"/>
        <v>-1971.0000000000002</v>
      </c>
      <c r="AO67" s="32">
        <f t="shared" si="79"/>
        <v>-1971.0000000000002</v>
      </c>
    </row>
    <row r="68" spans="1:46" ht="13.8" thickBot="1" x14ac:dyDescent="0.3">
      <c r="A68" s="38" t="s">
        <v>78</v>
      </c>
      <c r="B68" s="17">
        <f>+B67</f>
        <v>0</v>
      </c>
      <c r="C68" s="18">
        <f>C67+B68</f>
        <v>0</v>
      </c>
      <c r="D68" s="18">
        <f t="shared" ref="D68:S68" si="80">D67+C68</f>
        <v>0</v>
      </c>
      <c r="E68" s="18">
        <f t="shared" si="80"/>
        <v>-1475</v>
      </c>
      <c r="F68" s="18">
        <f t="shared" si="80"/>
        <v>-3230</v>
      </c>
      <c r="G68" s="18">
        <f t="shared" si="80"/>
        <v>-6000</v>
      </c>
      <c r="H68" s="18">
        <f t="shared" si="80"/>
        <v>-19724.999999999996</v>
      </c>
      <c r="I68" s="69">
        <f t="shared" si="80"/>
        <v>-33929.918828946153</v>
      </c>
      <c r="J68" s="18">
        <f t="shared" si="80"/>
        <v>-31391.591116334952</v>
      </c>
      <c r="K68" s="18">
        <f t="shared" si="80"/>
        <v>-28853.263403723751</v>
      </c>
      <c r="L68" s="18">
        <f t="shared" si="80"/>
        <v>-26314.935691112551</v>
      </c>
      <c r="M68" s="18">
        <f t="shared" si="80"/>
        <v>-23776.60797850135</v>
      </c>
      <c r="N68" s="18">
        <f t="shared" si="80"/>
        <v>-21238.280265890149</v>
      </c>
      <c r="O68" s="18">
        <f t="shared" si="80"/>
        <v>-18699.952553278948</v>
      </c>
      <c r="P68" s="18">
        <f t="shared" si="80"/>
        <v>-16161.624840667746</v>
      </c>
      <c r="Q68" s="18">
        <f t="shared" si="80"/>
        <v>-13623.297128056543</v>
      </c>
      <c r="R68" s="18">
        <f t="shared" si="80"/>
        <v>-11084.969415445341</v>
      </c>
      <c r="S68" s="18">
        <f t="shared" si="80"/>
        <v>-4050.9906073082784</v>
      </c>
      <c r="T68" s="18">
        <f t="shared" ref="T68:AI68" si="81">T67+S68</f>
        <v>2460.4665110719598</v>
      </c>
      <c r="U68" s="18">
        <f t="shared" si="81"/>
        <v>8508.9236948423841</v>
      </c>
      <c r="V68" s="18">
        <f t="shared" si="81"/>
        <v>14557.380878612808</v>
      </c>
      <c r="W68" s="18">
        <f t="shared" si="81"/>
        <v>20605.838062383235</v>
      </c>
      <c r="X68" s="18">
        <f t="shared" si="81"/>
        <v>26654.295246153659</v>
      </c>
      <c r="Y68" s="18">
        <f t="shared" si="81"/>
        <v>32702.752429924083</v>
      </c>
      <c r="Z68" s="18">
        <f t="shared" si="81"/>
        <v>38751.209613694504</v>
      </c>
      <c r="AA68" s="18">
        <f t="shared" si="81"/>
        <v>44799.666797464932</v>
      </c>
      <c r="AB68" s="18">
        <f t="shared" si="81"/>
        <v>50848.12398123536</v>
      </c>
      <c r="AC68" s="18">
        <f t="shared" si="81"/>
        <v>56896.581165005788</v>
      </c>
      <c r="AD68" s="18">
        <f t="shared" si="81"/>
        <v>62945.038348776216</v>
      </c>
      <c r="AE68" s="18">
        <f t="shared" si="81"/>
        <v>68993.495532546644</v>
      </c>
      <c r="AF68" s="18">
        <f t="shared" si="81"/>
        <v>75041.952716317071</v>
      </c>
      <c r="AG68" s="18">
        <f t="shared" si="81"/>
        <v>81090.409900087499</v>
      </c>
      <c r="AH68" s="18">
        <f t="shared" si="81"/>
        <v>87138.867083857927</v>
      </c>
      <c r="AI68" s="18">
        <f t="shared" si="81"/>
        <v>93187.324267628355</v>
      </c>
      <c r="AJ68" s="18">
        <f t="shared" ref="AJ68:AO68" si="82">AJ67+AI68</f>
        <v>99235.781451398783</v>
      </c>
      <c r="AK68" s="18">
        <f t="shared" si="82"/>
        <v>105284.23863516921</v>
      </c>
      <c r="AL68" s="18">
        <f t="shared" si="82"/>
        <v>111332.69581893964</v>
      </c>
      <c r="AM68" s="18">
        <f t="shared" si="82"/>
        <v>117381.15300271007</v>
      </c>
      <c r="AN68" s="18">
        <v>0</v>
      </c>
      <c r="AO68" s="19">
        <f t="shared" si="82"/>
        <v>-1971.0000000000002</v>
      </c>
      <c r="AR68" s="2"/>
      <c r="AS68" s="2"/>
      <c r="AT68" s="2"/>
    </row>
    <row r="70" spans="1:46" x14ac:dyDescent="0.25">
      <c r="A70" s="5" t="s">
        <v>101</v>
      </c>
      <c r="E70" s="2">
        <f>E56-E57</f>
        <v>-500</v>
      </c>
      <c r="F70" s="2">
        <f t="shared" ref="F70:AM70" si="83">F56-F57</f>
        <v>-200</v>
      </c>
      <c r="G70" s="2">
        <f t="shared" si="83"/>
        <v>-150</v>
      </c>
      <c r="H70" s="2">
        <f t="shared" si="83"/>
        <v>-5150</v>
      </c>
      <c r="I70" s="63">
        <f t="shared" si="83"/>
        <v>-17558.121895250653</v>
      </c>
      <c r="J70" s="2">
        <f t="shared" si="83"/>
        <v>-3676.9872896430843</v>
      </c>
      <c r="K70" s="2">
        <f t="shared" si="83"/>
        <v>-1508.0973546246016</v>
      </c>
      <c r="L70" s="2">
        <f t="shared" si="83"/>
        <v>111.70688139303252</v>
      </c>
      <c r="M70" s="2">
        <f t="shared" si="83"/>
        <v>1342.8369036745705</v>
      </c>
      <c r="N70" s="2">
        <f t="shared" si="83"/>
        <v>2300.0488374009146</v>
      </c>
      <c r="O70" s="2">
        <f t="shared" si="83"/>
        <v>3065.4966609069543</v>
      </c>
      <c r="P70" s="2">
        <f t="shared" si="83"/>
        <v>3698.0563706549956</v>
      </c>
      <c r="Q70" s="2">
        <f t="shared" si="83"/>
        <v>4239.9865623666519</v>
      </c>
      <c r="R70" s="2">
        <f t="shared" si="83"/>
        <v>3560.4259936337303</v>
      </c>
      <c r="S70" s="2">
        <f t="shared" si="83"/>
        <v>9062.8838159292172</v>
      </c>
      <c r="T70" s="2">
        <f t="shared" si="83"/>
        <v>6511.4571183802382</v>
      </c>
      <c r="U70" s="2">
        <f t="shared" si="83"/>
        <v>6048.4571837704243</v>
      </c>
      <c r="V70" s="2">
        <f t="shared" si="83"/>
        <v>6048.4571837704243</v>
      </c>
      <c r="W70" s="2">
        <f t="shared" si="83"/>
        <v>6048.4571837704243</v>
      </c>
      <c r="X70" s="2">
        <f t="shared" si="83"/>
        <v>6048.4571837704243</v>
      </c>
      <c r="Y70" s="2">
        <f t="shared" si="83"/>
        <v>6048.4571837704243</v>
      </c>
      <c r="Z70" s="2">
        <f t="shared" si="83"/>
        <v>6048.4571837704243</v>
      </c>
      <c r="AA70" s="2">
        <f t="shared" si="83"/>
        <v>6048.4571837704243</v>
      </c>
      <c r="AB70" s="2">
        <f t="shared" si="83"/>
        <v>6048.4571837704243</v>
      </c>
      <c r="AC70" s="2">
        <f t="shared" si="83"/>
        <v>6048.4571837704243</v>
      </c>
      <c r="AD70" s="2">
        <f t="shared" si="83"/>
        <v>6048.4571837704243</v>
      </c>
      <c r="AE70" s="2">
        <f t="shared" si="83"/>
        <v>6048.4571837704243</v>
      </c>
      <c r="AF70" s="2">
        <f t="shared" si="83"/>
        <v>6048.4571837704243</v>
      </c>
      <c r="AG70" s="2">
        <f t="shared" si="83"/>
        <v>6048.4571837704243</v>
      </c>
      <c r="AH70" s="2">
        <f t="shared" si="83"/>
        <v>6048.4571837704243</v>
      </c>
      <c r="AI70" s="2">
        <f t="shared" si="83"/>
        <v>6048.4571837704243</v>
      </c>
      <c r="AJ70" s="2">
        <f t="shared" si="83"/>
        <v>6048.4571837704243</v>
      </c>
      <c r="AK70" s="2">
        <f t="shared" si="83"/>
        <v>6048.4571837704243</v>
      </c>
      <c r="AL70" s="2">
        <f t="shared" si="83"/>
        <v>6048.4571837704243</v>
      </c>
      <c r="AM70" s="2">
        <f t="shared" si="83"/>
        <v>6048.4571837704243</v>
      </c>
    </row>
    <row r="71" spans="1:46" x14ac:dyDescent="0.25">
      <c r="B71" s="48"/>
      <c r="C71" s="48"/>
      <c r="D71" s="48"/>
      <c r="E71" s="48"/>
      <c r="F71" s="48"/>
      <c r="G71" s="48"/>
      <c r="H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</row>
    <row r="72" spans="1:46" x14ac:dyDescent="0.25">
      <c r="A72" s="1" t="s">
        <v>79</v>
      </c>
    </row>
    <row r="73" spans="1:46" x14ac:dyDescent="0.25">
      <c r="A73" s="1"/>
    </row>
    <row r="74" spans="1:46" x14ac:dyDescent="0.25">
      <c r="A74" s="5" t="s">
        <v>35</v>
      </c>
    </row>
    <row r="75" spans="1:46" x14ac:dyDescent="0.25">
      <c r="A75" t="s">
        <v>80</v>
      </c>
      <c r="B75">
        <f>B6</f>
        <v>0</v>
      </c>
      <c r="C75">
        <f t="shared" ref="C75:AR75" si="84">C6</f>
        <v>0</v>
      </c>
      <c r="D75">
        <f t="shared" si="84"/>
        <v>0</v>
      </c>
      <c r="E75">
        <f t="shared" si="84"/>
        <v>1</v>
      </c>
      <c r="F75">
        <f t="shared" si="84"/>
        <v>2</v>
      </c>
      <c r="G75">
        <f t="shared" si="84"/>
        <v>3</v>
      </c>
      <c r="H75">
        <f t="shared" si="84"/>
        <v>4</v>
      </c>
      <c r="I75" s="59">
        <f t="shared" si="84"/>
        <v>5</v>
      </c>
      <c r="J75">
        <f t="shared" si="84"/>
        <v>6</v>
      </c>
      <c r="K75">
        <f t="shared" si="84"/>
        <v>7</v>
      </c>
      <c r="L75">
        <f t="shared" si="84"/>
        <v>8</v>
      </c>
      <c r="M75">
        <f t="shared" si="84"/>
        <v>9</v>
      </c>
      <c r="N75">
        <f t="shared" si="84"/>
        <v>10</v>
      </c>
      <c r="O75">
        <f t="shared" si="84"/>
        <v>11</v>
      </c>
      <c r="P75">
        <f t="shared" si="84"/>
        <v>12</v>
      </c>
      <c r="Q75">
        <f t="shared" si="84"/>
        <v>13</v>
      </c>
      <c r="R75">
        <f t="shared" si="84"/>
        <v>14</v>
      </c>
      <c r="S75">
        <f t="shared" si="84"/>
        <v>15</v>
      </c>
      <c r="T75">
        <f t="shared" si="84"/>
        <v>16</v>
      </c>
      <c r="U75">
        <f t="shared" si="84"/>
        <v>17</v>
      </c>
      <c r="V75">
        <f t="shared" si="84"/>
        <v>18</v>
      </c>
      <c r="W75">
        <f t="shared" si="84"/>
        <v>19</v>
      </c>
      <c r="X75">
        <f t="shared" si="84"/>
        <v>20</v>
      </c>
      <c r="Y75">
        <f t="shared" si="84"/>
        <v>21</v>
      </c>
      <c r="Z75">
        <f t="shared" si="84"/>
        <v>22</v>
      </c>
      <c r="AA75">
        <f t="shared" si="84"/>
        <v>23</v>
      </c>
      <c r="AB75">
        <f t="shared" si="84"/>
        <v>24</v>
      </c>
      <c r="AC75">
        <f t="shared" si="84"/>
        <v>25</v>
      </c>
      <c r="AD75">
        <f t="shared" si="84"/>
        <v>26</v>
      </c>
      <c r="AE75">
        <f t="shared" si="84"/>
        <v>27</v>
      </c>
      <c r="AF75">
        <f t="shared" si="84"/>
        <v>28</v>
      </c>
      <c r="AG75">
        <f t="shared" si="84"/>
        <v>29</v>
      </c>
      <c r="AH75">
        <f t="shared" si="84"/>
        <v>30</v>
      </c>
      <c r="AI75">
        <f t="shared" si="84"/>
        <v>31</v>
      </c>
      <c r="AJ75">
        <f t="shared" si="84"/>
        <v>32</v>
      </c>
      <c r="AK75">
        <f t="shared" si="84"/>
        <v>33</v>
      </c>
      <c r="AL75">
        <f t="shared" si="84"/>
        <v>34</v>
      </c>
      <c r="AM75">
        <f t="shared" si="84"/>
        <v>35</v>
      </c>
      <c r="AN75">
        <f t="shared" si="84"/>
        <v>36</v>
      </c>
      <c r="AO75">
        <f t="shared" si="84"/>
        <v>37</v>
      </c>
      <c r="AP75">
        <f t="shared" si="84"/>
        <v>0</v>
      </c>
      <c r="AQ75">
        <f t="shared" si="84"/>
        <v>0</v>
      </c>
      <c r="AR75">
        <f t="shared" si="84"/>
        <v>0</v>
      </c>
    </row>
    <row r="76" spans="1:46" x14ac:dyDescent="0.25">
      <c r="A76" t="s">
        <v>72</v>
      </c>
      <c r="B76" s="2">
        <f t="shared" ref="B76:J76" si="85">B28*$N$1</f>
        <v>0</v>
      </c>
      <c r="C76" s="2">
        <f t="shared" si="85"/>
        <v>0</v>
      </c>
      <c r="D76" s="2">
        <f t="shared" si="85"/>
        <v>0</v>
      </c>
      <c r="E76" s="2">
        <f t="shared" si="85"/>
        <v>2275</v>
      </c>
      <c r="F76" s="2">
        <f t="shared" si="85"/>
        <v>3628.333333333333</v>
      </c>
      <c r="G76" s="2">
        <f t="shared" si="85"/>
        <v>6113.3333333333321</v>
      </c>
      <c r="H76" s="2">
        <f t="shared" si="85"/>
        <v>13358.333333333332</v>
      </c>
      <c r="I76" s="63">
        <f t="shared" si="85"/>
        <v>9800</v>
      </c>
      <c r="J76" s="2">
        <f t="shared" si="85"/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</row>
    <row r="77" spans="1:46" x14ac:dyDescent="0.25">
      <c r="A77" t="s">
        <v>81</v>
      </c>
      <c r="B77" s="2">
        <f t="shared" ref="B77:H77" si="86">(1+$R$3)^($I$6-B6)*B76-B76</f>
        <v>0</v>
      </c>
      <c r="C77" s="2">
        <f t="shared" si="86"/>
        <v>0</v>
      </c>
      <c r="D77" s="2">
        <f t="shared" si="86"/>
        <v>0</v>
      </c>
      <c r="E77" s="2">
        <f t="shared" si="86"/>
        <v>490.27671874999987</v>
      </c>
      <c r="F77" s="2">
        <f t="shared" si="86"/>
        <v>571.9160416666673</v>
      </c>
      <c r="G77" s="2">
        <f t="shared" si="86"/>
        <v>626.61666666666679</v>
      </c>
      <c r="H77" s="2">
        <f t="shared" si="86"/>
        <v>667.91666666666788</v>
      </c>
      <c r="I77" s="63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 spans="1:46" x14ac:dyDescent="0.25">
      <c r="A78" t="s">
        <v>82</v>
      </c>
      <c r="B78" s="2">
        <f t="shared" ref="B78:O78" si="87">SUM(B76:B77)</f>
        <v>0</v>
      </c>
      <c r="C78" s="2">
        <f t="shared" si="87"/>
        <v>0</v>
      </c>
      <c r="D78" s="2">
        <f t="shared" si="87"/>
        <v>0</v>
      </c>
      <c r="E78" s="2">
        <f t="shared" si="87"/>
        <v>2765.2767187499999</v>
      </c>
      <c r="F78" s="2">
        <f t="shared" si="87"/>
        <v>4200.2493750000003</v>
      </c>
      <c r="G78" s="2">
        <f t="shared" si="87"/>
        <v>6739.9499999999989</v>
      </c>
      <c r="H78" s="2">
        <f t="shared" si="87"/>
        <v>14026.25</v>
      </c>
      <c r="I78" s="63">
        <f t="shared" si="87"/>
        <v>9800</v>
      </c>
      <c r="J78" s="2">
        <f t="shared" si="87"/>
        <v>0</v>
      </c>
      <c r="K78" s="2">
        <f t="shared" si="87"/>
        <v>0</v>
      </c>
      <c r="L78" s="2">
        <f t="shared" si="87"/>
        <v>0</v>
      </c>
      <c r="M78" s="2">
        <f t="shared" si="87"/>
        <v>0</v>
      </c>
      <c r="N78" s="2">
        <f t="shared" si="87"/>
        <v>0</v>
      </c>
      <c r="O78" s="2">
        <f t="shared" si="87"/>
        <v>0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  <row r="79" spans="1:46" x14ac:dyDescent="0.25">
      <c r="A79" t="s">
        <v>83</v>
      </c>
      <c r="B79" s="2">
        <v>0</v>
      </c>
      <c r="C79" s="2">
        <f>+B79+B78</f>
        <v>0</v>
      </c>
      <c r="D79" s="2">
        <f t="shared" ref="D79:I79" si="88">+C79+C78</f>
        <v>0</v>
      </c>
      <c r="E79" s="2">
        <f t="shared" si="88"/>
        <v>0</v>
      </c>
      <c r="F79" s="2">
        <f t="shared" si="88"/>
        <v>2765.2767187499999</v>
      </c>
      <c r="G79" s="2">
        <f t="shared" si="88"/>
        <v>6965.5260937500007</v>
      </c>
      <c r="H79" s="2">
        <f t="shared" si="88"/>
        <v>13705.47609375</v>
      </c>
      <c r="I79" s="63">
        <f t="shared" si="88"/>
        <v>27731.72609375</v>
      </c>
      <c r="J79" s="2">
        <f t="shared" ref="J79:AQ79" si="89">I84</f>
        <v>35326.926997607938</v>
      </c>
      <c r="K79" s="2">
        <f t="shared" si="89"/>
        <v>32232.743111997301</v>
      </c>
      <c r="L79" s="2">
        <f t="shared" si="89"/>
        <v>28983.850032106133</v>
      </c>
      <c r="M79" s="2">
        <f t="shared" si="89"/>
        <v>25572.512298220405</v>
      </c>
      <c r="N79" s="2">
        <f t="shared" si="89"/>
        <v>21990.607677640393</v>
      </c>
      <c r="O79" s="2">
        <f t="shared" si="89"/>
        <v>18229.607826031381</v>
      </c>
      <c r="P79" s="2">
        <f t="shared" si="89"/>
        <v>14280.557981841916</v>
      </c>
      <c r="Q79" s="2">
        <f t="shared" si="89"/>
        <v>10134.055645442979</v>
      </c>
      <c r="R79" s="2">
        <f t="shared" si="89"/>
        <v>5780.2281922240945</v>
      </c>
      <c r="S79" s="2">
        <f t="shared" si="89"/>
        <v>1208.7093663442656</v>
      </c>
      <c r="T79" s="2">
        <f t="shared" si="89"/>
        <v>3.1832314562052488E-12</v>
      </c>
      <c r="U79" s="2">
        <f t="shared" si="89"/>
        <v>3.3423930290155111E-12</v>
      </c>
      <c r="V79" s="2">
        <f t="shared" si="89"/>
        <v>3.5095126804662865E-12</v>
      </c>
      <c r="W79" s="2">
        <f t="shared" si="89"/>
        <v>3.6849883144896011E-12</v>
      </c>
      <c r="X79" s="2">
        <f t="shared" si="89"/>
        <v>3.869237730214081E-12</v>
      </c>
      <c r="Y79" s="2">
        <f t="shared" si="89"/>
        <v>4.0626996167247852E-12</v>
      </c>
      <c r="Z79" s="2">
        <f t="shared" si="89"/>
        <v>4.2658345975610245E-12</v>
      </c>
      <c r="AA79" s="2">
        <f t="shared" si="89"/>
        <v>4.4791263274390753E-12</v>
      </c>
      <c r="AB79" s="2">
        <f t="shared" si="89"/>
        <v>4.7030826438110295E-12</v>
      </c>
      <c r="AC79" s="2">
        <f t="shared" si="89"/>
        <v>4.9382367760015811E-12</v>
      </c>
      <c r="AD79" s="2">
        <f t="shared" si="89"/>
        <v>5.1851486148016599E-12</v>
      </c>
      <c r="AE79" s="2">
        <f t="shared" si="89"/>
        <v>5.4444060455417428E-12</v>
      </c>
      <c r="AF79" s="2">
        <f t="shared" si="89"/>
        <v>5.7166263478188297E-12</v>
      </c>
      <c r="AG79" s="2">
        <f t="shared" si="89"/>
        <v>6.0024576652097711E-12</v>
      </c>
      <c r="AH79" s="2">
        <f t="shared" si="89"/>
        <v>6.3025805484702598E-12</v>
      </c>
      <c r="AI79" s="2">
        <f t="shared" si="89"/>
        <v>6.6177095758937725E-12</v>
      </c>
      <c r="AJ79" s="2">
        <f t="shared" si="89"/>
        <v>6.9485950546884614E-12</v>
      </c>
      <c r="AK79" s="2">
        <f t="shared" si="89"/>
        <v>7.2960248074228839E-12</v>
      </c>
      <c r="AL79" s="2">
        <f t="shared" si="89"/>
        <v>7.6608260477940284E-12</v>
      </c>
      <c r="AM79" s="2">
        <f t="shared" si="89"/>
        <v>8.0438673501837296E-12</v>
      </c>
      <c r="AN79" s="2">
        <f t="shared" si="89"/>
        <v>8.4460607176929164E-12</v>
      </c>
      <c r="AO79" s="2">
        <f t="shared" si="89"/>
        <v>8.8683637535775623E-12</v>
      </c>
      <c r="AP79" s="2">
        <f t="shared" si="89"/>
        <v>9.3117819412564401E-12</v>
      </c>
      <c r="AQ79" s="2">
        <f t="shared" si="89"/>
        <v>9.7773710383192616E-12</v>
      </c>
      <c r="AR79" s="2"/>
    </row>
    <row r="80" spans="1:46" x14ac:dyDescent="0.25">
      <c r="A80" t="s">
        <v>84</v>
      </c>
      <c r="B80" s="2" t="s">
        <v>85</v>
      </c>
      <c r="C80" s="2"/>
      <c r="D80" s="2"/>
      <c r="E80" s="2"/>
      <c r="F80" s="2"/>
      <c r="G80" s="2"/>
      <c r="H80" s="2"/>
      <c r="I80" s="70">
        <f>(1+$R$1)^$V$1*$R$1/((1+$R$1)^$V$1-1)</f>
        <v>0.1295045749654567</v>
      </c>
      <c r="J80" s="3">
        <f t="shared" ref="J80:Y80" si="90">(1+$R$1)^$V$1*$R$1/((1+$R$1)^$V$1-1)</f>
        <v>0.1295045749654567</v>
      </c>
      <c r="K80" s="3">
        <f t="shared" si="90"/>
        <v>0.1295045749654567</v>
      </c>
      <c r="L80" s="3">
        <f t="shared" si="90"/>
        <v>0.1295045749654567</v>
      </c>
      <c r="M80" s="3">
        <f t="shared" si="90"/>
        <v>0.1295045749654567</v>
      </c>
      <c r="N80" s="3">
        <f t="shared" si="90"/>
        <v>0.1295045749654567</v>
      </c>
      <c r="O80" s="3">
        <f t="shared" si="90"/>
        <v>0.1295045749654567</v>
      </c>
      <c r="P80" s="3">
        <f t="shared" si="90"/>
        <v>0.1295045749654567</v>
      </c>
      <c r="Q80" s="3">
        <f t="shared" si="90"/>
        <v>0.1295045749654567</v>
      </c>
      <c r="R80" s="3">
        <f t="shared" si="90"/>
        <v>0.1295045749654567</v>
      </c>
      <c r="S80" s="3">
        <f t="shared" si="90"/>
        <v>0.1295045749654567</v>
      </c>
      <c r="T80" s="3">
        <f t="shared" si="90"/>
        <v>0.1295045749654567</v>
      </c>
      <c r="U80" s="3">
        <f t="shared" si="90"/>
        <v>0.1295045749654567</v>
      </c>
      <c r="V80" s="3">
        <f t="shared" si="90"/>
        <v>0.1295045749654567</v>
      </c>
      <c r="W80" s="3">
        <f t="shared" si="90"/>
        <v>0.1295045749654567</v>
      </c>
      <c r="X80" s="3">
        <f t="shared" si="90"/>
        <v>0.1295045749654567</v>
      </c>
      <c r="Y80" s="3">
        <f t="shared" si="90"/>
        <v>0.1295045749654567</v>
      </c>
      <c r="Z80" s="3">
        <f t="shared" ref="Z80:AO80" si="91">(1+$R$1)^$V$1*$R$1/((1+$R$1)^$V$1-1)</f>
        <v>0.1295045749654567</v>
      </c>
      <c r="AA80" s="3">
        <f t="shared" si="91"/>
        <v>0.1295045749654567</v>
      </c>
      <c r="AB80" s="3">
        <f t="shared" si="91"/>
        <v>0.1295045749654567</v>
      </c>
      <c r="AC80" s="3">
        <f t="shared" si="91"/>
        <v>0.1295045749654567</v>
      </c>
      <c r="AD80" s="3">
        <f t="shared" si="91"/>
        <v>0.1295045749654567</v>
      </c>
      <c r="AE80" s="3">
        <f t="shared" si="91"/>
        <v>0.1295045749654567</v>
      </c>
      <c r="AF80" s="3">
        <f t="shared" si="91"/>
        <v>0.1295045749654567</v>
      </c>
      <c r="AG80" s="3">
        <f t="shared" si="91"/>
        <v>0.1295045749654567</v>
      </c>
      <c r="AH80" s="3">
        <f t="shared" si="91"/>
        <v>0.1295045749654567</v>
      </c>
      <c r="AI80" s="3">
        <f t="shared" si="91"/>
        <v>0.1295045749654567</v>
      </c>
      <c r="AJ80" s="3">
        <f t="shared" si="91"/>
        <v>0.1295045749654567</v>
      </c>
      <c r="AK80" s="3">
        <f t="shared" si="91"/>
        <v>0.1295045749654567</v>
      </c>
      <c r="AL80" s="3">
        <f t="shared" si="91"/>
        <v>0.1295045749654567</v>
      </c>
      <c r="AM80" s="3">
        <f t="shared" si="91"/>
        <v>0.1295045749654567</v>
      </c>
      <c r="AN80" s="3">
        <f t="shared" si="91"/>
        <v>0.1295045749654567</v>
      </c>
      <c r="AO80" s="3">
        <f t="shared" si="91"/>
        <v>0.1295045749654567</v>
      </c>
      <c r="AP80" s="3">
        <f>(1+$R$1)^$V$1*$R$1/((1+$R$1)^$V$1-1)</f>
        <v>0.1295045749654567</v>
      </c>
      <c r="AQ80" s="3">
        <f>(1+$R$1)^$V$1*$R$1/((1+$R$1)^$V$1-1)</f>
        <v>0.1295045749654567</v>
      </c>
      <c r="AR80" s="2"/>
    </row>
    <row r="81" spans="1:44" x14ac:dyDescent="0.25">
      <c r="A81" t="s">
        <v>86</v>
      </c>
      <c r="B81" s="2"/>
      <c r="C81" s="2"/>
      <c r="D81" s="2"/>
      <c r="E81" s="2"/>
      <c r="F81" s="2"/>
      <c r="G81" s="2"/>
      <c r="H81" s="2"/>
      <c r="I81" s="63">
        <f>I80*$I$79</f>
        <v>3591.3854008295584</v>
      </c>
      <c r="J81" s="2">
        <f>J80*($I$79+$I$78)</f>
        <v>4860.5302354910336</v>
      </c>
      <c r="K81" s="2">
        <f>K80*($I$79+$I$78+$J$78)</f>
        <v>4860.5302354910336</v>
      </c>
      <c r="L81" s="2">
        <f>L80*($I$79+$I$78+$J$78+$K$78)</f>
        <v>4860.5302354910336</v>
      </c>
      <c r="M81" s="2">
        <f>M80*($I$79+$I$78+$J$78+$K$78+$L$78)</f>
        <v>4860.5302354910336</v>
      </c>
      <c r="N81" s="2">
        <f>N80*($I$79+$I$78+$J$78+$K$78+$L$78+$M$78)</f>
        <v>4860.5302354910336</v>
      </c>
      <c r="O81" s="2">
        <f>O80*($I$79+$I$78+$J$78+$K$78+$L$78+$M$78+$N$78)</f>
        <v>4860.5302354910336</v>
      </c>
      <c r="P81" s="2">
        <f>P80*($I$79+$I$78+$J$78+$K$78+$L$78+$M$78+$N$78+$O$78)</f>
        <v>4860.5302354910336</v>
      </c>
      <c r="Q81" s="2">
        <f>Q80*($I$79+$I$78+$J$78+$K$78+$L$78+$M$78+$N$78+$O$78+$P$78)</f>
        <v>4860.5302354910336</v>
      </c>
      <c r="R81" s="2">
        <f>R80*($I$79+$I$78+$J$78+$K$78+$L$78+$M$78+$N$78+$O$78+$P$78+$Q$78)</f>
        <v>4860.5302354910336</v>
      </c>
      <c r="S81" s="2">
        <f>S80*($I$78+$J$78+$K$78+$L$78+$M$78+$N$78+$O$78+$P$78+$Q$78)</f>
        <v>1269.1448346614757</v>
      </c>
      <c r="T81" s="2">
        <f>T80*($J$78+$K$78+$L$78+$M$78+$N$78+$O$78+$P$78+$Q$78)</f>
        <v>0</v>
      </c>
      <c r="U81" s="2">
        <f>U80*($K$78+$L$78+$M$78+$N$78+$O$78+$P$78+$Q$78)</f>
        <v>0</v>
      </c>
      <c r="V81" s="2">
        <f>V80*($L$78+$M$78+$N$78+$O$78+$P$78+$Q$78)</f>
        <v>0</v>
      </c>
      <c r="W81" s="2">
        <f>W80*($M$78+$N$78+$O$78+$P$78+$Q$78)</f>
        <v>0</v>
      </c>
      <c r="X81" s="2">
        <f>X80*($N$78+$O$78+$P$78+$Q$78)</f>
        <v>0</v>
      </c>
      <c r="Y81" s="2">
        <f>Y80*($O$78+$P$78+$Q$78)</f>
        <v>0</v>
      </c>
      <c r="Z81" s="2">
        <f>Z80*($P$78+$Q$78)</f>
        <v>0</v>
      </c>
      <c r="AA81" s="2">
        <f>AA80*($Q$78)</f>
        <v>0</v>
      </c>
      <c r="AB81" s="2">
        <f>AB80*0</f>
        <v>0</v>
      </c>
      <c r="AC81" s="2">
        <f t="shared" ref="AC81:AQ81" si="92">AC80*0</f>
        <v>0</v>
      </c>
      <c r="AD81" s="2">
        <f t="shared" si="92"/>
        <v>0</v>
      </c>
      <c r="AE81" s="2">
        <f t="shared" si="92"/>
        <v>0</v>
      </c>
      <c r="AF81" s="2">
        <f t="shared" si="92"/>
        <v>0</v>
      </c>
      <c r="AG81" s="2">
        <f t="shared" si="92"/>
        <v>0</v>
      </c>
      <c r="AH81" s="2">
        <f t="shared" si="92"/>
        <v>0</v>
      </c>
      <c r="AI81" s="2">
        <f t="shared" si="92"/>
        <v>0</v>
      </c>
      <c r="AJ81" s="2">
        <f t="shared" si="92"/>
        <v>0</v>
      </c>
      <c r="AK81" s="2">
        <f t="shared" si="92"/>
        <v>0</v>
      </c>
      <c r="AL81" s="2">
        <f t="shared" si="92"/>
        <v>0</v>
      </c>
      <c r="AM81" s="2">
        <f t="shared" si="92"/>
        <v>0</v>
      </c>
      <c r="AN81" s="2">
        <f t="shared" si="92"/>
        <v>0</v>
      </c>
      <c r="AO81" s="2">
        <f t="shared" si="92"/>
        <v>0</v>
      </c>
      <c r="AP81" s="2">
        <f t="shared" si="92"/>
        <v>0</v>
      </c>
      <c r="AQ81" s="2">
        <f t="shared" si="92"/>
        <v>0</v>
      </c>
      <c r="AR81" s="2"/>
    </row>
    <row r="82" spans="1:44" x14ac:dyDescent="0.25">
      <c r="A82" t="s">
        <v>87</v>
      </c>
      <c r="B82" s="2"/>
      <c r="C82" s="2"/>
      <c r="D82" s="2"/>
      <c r="E82" s="2"/>
      <c r="F82" s="2"/>
      <c r="G82" s="2"/>
      <c r="H82" s="2"/>
      <c r="I82" s="63">
        <f>$R$1*I79</f>
        <v>1386.5863046875002</v>
      </c>
      <c r="J82" s="2">
        <f t="shared" ref="J82:Y82" si="93">$R$1*J79</f>
        <v>1766.3463498803969</v>
      </c>
      <c r="K82" s="2">
        <f t="shared" si="93"/>
        <v>1611.6371555998651</v>
      </c>
      <c r="L82" s="2">
        <f t="shared" si="93"/>
        <v>1449.1925016053067</v>
      </c>
      <c r="M82" s="2">
        <f t="shared" si="93"/>
        <v>1278.6256149110204</v>
      </c>
      <c r="N82" s="2">
        <f t="shared" si="93"/>
        <v>1099.5303838820198</v>
      </c>
      <c r="O82" s="2">
        <f t="shared" si="93"/>
        <v>911.48039130156906</v>
      </c>
      <c r="P82" s="2">
        <f t="shared" si="93"/>
        <v>714.02789909209582</v>
      </c>
      <c r="Q82" s="2">
        <f t="shared" si="93"/>
        <v>506.70278227214897</v>
      </c>
      <c r="R82" s="2">
        <f t="shared" si="93"/>
        <v>289.01140961120473</v>
      </c>
      <c r="S82" s="2">
        <f t="shared" si="93"/>
        <v>60.435468317213285</v>
      </c>
      <c r="T82" s="2">
        <f t="shared" si="93"/>
        <v>1.5916157281026246E-13</v>
      </c>
      <c r="U82" s="2">
        <f t="shared" si="93"/>
        <v>1.6711965145077556E-13</v>
      </c>
      <c r="V82" s="2">
        <f t="shared" si="93"/>
        <v>1.7547563402331433E-13</v>
      </c>
      <c r="W82" s="2">
        <f t="shared" si="93"/>
        <v>1.8424941572448007E-13</v>
      </c>
      <c r="X82" s="2">
        <f t="shared" si="93"/>
        <v>1.9346188651070405E-13</v>
      </c>
      <c r="Y82" s="2">
        <f t="shared" si="93"/>
        <v>2.0313498083623926E-13</v>
      </c>
      <c r="Z82" s="2">
        <f t="shared" ref="Z82:AO82" si="94">$R$1*Z79</f>
        <v>2.1329172987805124E-13</v>
      </c>
      <c r="AA82" s="2">
        <f t="shared" si="94"/>
        <v>2.2395631637195377E-13</v>
      </c>
      <c r="AB82" s="2">
        <f t="shared" si="94"/>
        <v>2.3515413219055149E-13</v>
      </c>
      <c r="AC82" s="2">
        <f t="shared" si="94"/>
        <v>2.4691183880007908E-13</v>
      </c>
      <c r="AD82" s="2">
        <f t="shared" si="94"/>
        <v>2.5925743074008302E-13</v>
      </c>
      <c r="AE82" s="2">
        <f t="shared" si="94"/>
        <v>2.7222030227708716E-13</v>
      </c>
      <c r="AF82" s="2">
        <f t="shared" si="94"/>
        <v>2.8583131739094151E-13</v>
      </c>
      <c r="AG82" s="2">
        <f t="shared" si="94"/>
        <v>3.0012288326048857E-13</v>
      </c>
      <c r="AH82" s="2">
        <f t="shared" si="94"/>
        <v>3.1512902742351301E-13</v>
      </c>
      <c r="AI82" s="2">
        <f t="shared" si="94"/>
        <v>3.3088547879468867E-13</v>
      </c>
      <c r="AJ82" s="2">
        <f t="shared" si="94"/>
        <v>3.474297527344231E-13</v>
      </c>
      <c r="AK82" s="2">
        <f t="shared" si="94"/>
        <v>3.6480124037114424E-13</v>
      </c>
      <c r="AL82" s="2">
        <f t="shared" si="94"/>
        <v>3.8304130238970146E-13</v>
      </c>
      <c r="AM82" s="2">
        <f t="shared" si="94"/>
        <v>4.0219336750918652E-13</v>
      </c>
      <c r="AN82" s="2">
        <f t="shared" si="94"/>
        <v>4.2230303588464583E-13</v>
      </c>
      <c r="AO82" s="2">
        <f t="shared" si="94"/>
        <v>4.4341818767887812E-13</v>
      </c>
      <c r="AP82" s="2">
        <f>$R$1*AP79</f>
        <v>4.6558909706282202E-13</v>
      </c>
      <c r="AQ82" s="2">
        <f>$R$1*AQ79</f>
        <v>4.8886855191596314E-13</v>
      </c>
      <c r="AR82" s="2"/>
    </row>
    <row r="83" spans="1:44" x14ac:dyDescent="0.25">
      <c r="A83" t="s">
        <v>88</v>
      </c>
      <c r="B83" s="2"/>
      <c r="C83" s="2"/>
      <c r="D83" s="2"/>
      <c r="E83" s="2"/>
      <c r="F83" s="2"/>
      <c r="G83" s="2"/>
      <c r="H83" s="2"/>
      <c r="I83" s="63">
        <f>I81-I82</f>
        <v>2204.7990961420583</v>
      </c>
      <c r="J83" s="2">
        <f t="shared" ref="J83:Y83" si="95">J81-J82</f>
        <v>3094.1838856106369</v>
      </c>
      <c r="K83" s="2">
        <f t="shared" si="95"/>
        <v>3248.8930798911688</v>
      </c>
      <c r="L83" s="2">
        <f t="shared" si="95"/>
        <v>3411.3377338857272</v>
      </c>
      <c r="M83" s="2">
        <f t="shared" si="95"/>
        <v>3581.9046205800132</v>
      </c>
      <c r="N83" s="2">
        <f t="shared" si="95"/>
        <v>3760.9998516090136</v>
      </c>
      <c r="O83" s="2">
        <f t="shared" si="95"/>
        <v>3949.0498441894647</v>
      </c>
      <c r="P83" s="2">
        <f t="shared" si="95"/>
        <v>4146.5023363989376</v>
      </c>
      <c r="Q83" s="2">
        <f t="shared" si="95"/>
        <v>4353.8274532188843</v>
      </c>
      <c r="R83" s="2">
        <f t="shared" si="95"/>
        <v>4571.5188258798289</v>
      </c>
      <c r="S83" s="2">
        <f t="shared" si="95"/>
        <v>1208.7093663442624</v>
      </c>
      <c r="T83" s="2">
        <f t="shared" si="95"/>
        <v>-1.5916157281026246E-13</v>
      </c>
      <c r="U83" s="2">
        <f t="shared" si="95"/>
        <v>-1.6711965145077556E-13</v>
      </c>
      <c r="V83" s="2">
        <f t="shared" si="95"/>
        <v>-1.7547563402331433E-13</v>
      </c>
      <c r="W83" s="2">
        <f t="shared" si="95"/>
        <v>-1.8424941572448007E-13</v>
      </c>
      <c r="X83" s="2">
        <f t="shared" si="95"/>
        <v>-1.9346188651070405E-13</v>
      </c>
      <c r="Y83" s="2">
        <f t="shared" si="95"/>
        <v>-2.0313498083623926E-13</v>
      </c>
      <c r="Z83" s="2">
        <f t="shared" ref="Z83:AO83" si="96">Z81-Z82</f>
        <v>-2.1329172987805124E-13</v>
      </c>
      <c r="AA83" s="2">
        <f t="shared" si="96"/>
        <v>-2.2395631637195377E-13</v>
      </c>
      <c r="AB83" s="2">
        <f t="shared" si="96"/>
        <v>-2.3515413219055149E-13</v>
      </c>
      <c r="AC83" s="2">
        <f t="shared" si="96"/>
        <v>-2.4691183880007908E-13</v>
      </c>
      <c r="AD83" s="2">
        <f t="shared" si="96"/>
        <v>-2.5925743074008302E-13</v>
      </c>
      <c r="AE83" s="2">
        <f t="shared" si="96"/>
        <v>-2.7222030227708716E-13</v>
      </c>
      <c r="AF83" s="2">
        <f t="shared" si="96"/>
        <v>-2.8583131739094151E-13</v>
      </c>
      <c r="AG83" s="2">
        <f t="shared" si="96"/>
        <v>-3.0012288326048857E-13</v>
      </c>
      <c r="AH83" s="2">
        <f t="shared" si="96"/>
        <v>-3.1512902742351301E-13</v>
      </c>
      <c r="AI83" s="2">
        <f t="shared" si="96"/>
        <v>-3.3088547879468867E-13</v>
      </c>
      <c r="AJ83" s="2">
        <f t="shared" si="96"/>
        <v>-3.474297527344231E-13</v>
      </c>
      <c r="AK83" s="2">
        <f t="shared" si="96"/>
        <v>-3.6480124037114424E-13</v>
      </c>
      <c r="AL83" s="2">
        <f t="shared" si="96"/>
        <v>-3.8304130238970146E-13</v>
      </c>
      <c r="AM83" s="2">
        <f t="shared" si="96"/>
        <v>-4.0219336750918652E-13</v>
      </c>
      <c r="AN83" s="2">
        <f t="shared" si="96"/>
        <v>-4.2230303588464583E-13</v>
      </c>
      <c r="AO83" s="2">
        <f t="shared" si="96"/>
        <v>-4.4341818767887812E-13</v>
      </c>
      <c r="AP83" s="2">
        <f>AP81-AP82</f>
        <v>-4.6558909706282202E-13</v>
      </c>
      <c r="AQ83" s="2">
        <f>AQ81-AQ82</f>
        <v>-4.8886855191596314E-13</v>
      </c>
      <c r="AR83" s="2"/>
    </row>
    <row r="84" spans="1:44" x14ac:dyDescent="0.25">
      <c r="A84" t="s">
        <v>89</v>
      </c>
      <c r="B84" s="2"/>
      <c r="C84" s="2"/>
      <c r="D84" s="2"/>
      <c r="E84" s="2"/>
      <c r="F84" s="2"/>
      <c r="G84" s="2"/>
      <c r="H84" s="2"/>
      <c r="I84" s="63">
        <f>I79-I83+I78</f>
        <v>35326.926997607938</v>
      </c>
      <c r="J84" s="2">
        <f t="shared" ref="J84:Y84" si="97">J79-J83+J78</f>
        <v>32232.743111997301</v>
      </c>
      <c r="K84" s="2">
        <f t="shared" si="97"/>
        <v>28983.850032106133</v>
      </c>
      <c r="L84" s="2">
        <f t="shared" si="97"/>
        <v>25572.512298220405</v>
      </c>
      <c r="M84" s="2">
        <f t="shared" si="97"/>
        <v>21990.607677640393</v>
      </c>
      <c r="N84" s="2">
        <f t="shared" si="97"/>
        <v>18229.607826031381</v>
      </c>
      <c r="O84" s="2">
        <f t="shared" si="97"/>
        <v>14280.557981841916</v>
      </c>
      <c r="P84" s="2">
        <f t="shared" si="97"/>
        <v>10134.055645442979</v>
      </c>
      <c r="Q84" s="2">
        <f t="shared" si="97"/>
        <v>5780.2281922240945</v>
      </c>
      <c r="R84" s="2">
        <f t="shared" si="97"/>
        <v>1208.7093663442656</v>
      </c>
      <c r="S84" s="2">
        <f t="shared" si="97"/>
        <v>3.1832314562052488E-12</v>
      </c>
      <c r="T84" s="2">
        <f t="shared" si="97"/>
        <v>3.3423930290155111E-12</v>
      </c>
      <c r="U84" s="2">
        <f t="shared" si="97"/>
        <v>3.5095126804662865E-12</v>
      </c>
      <c r="V84" s="2">
        <f t="shared" si="97"/>
        <v>3.6849883144896011E-12</v>
      </c>
      <c r="W84" s="2">
        <f t="shared" si="97"/>
        <v>3.869237730214081E-12</v>
      </c>
      <c r="X84" s="2">
        <f t="shared" si="97"/>
        <v>4.0626996167247852E-12</v>
      </c>
      <c r="Y84" s="2">
        <f t="shared" si="97"/>
        <v>4.2658345975610245E-12</v>
      </c>
      <c r="Z84" s="2">
        <f t="shared" ref="Z84:AO84" si="98">Z79-Z83+Z78</f>
        <v>4.4791263274390753E-12</v>
      </c>
      <c r="AA84" s="2">
        <f t="shared" si="98"/>
        <v>4.7030826438110295E-12</v>
      </c>
      <c r="AB84" s="2">
        <f t="shared" si="98"/>
        <v>4.9382367760015811E-12</v>
      </c>
      <c r="AC84" s="2">
        <f t="shared" si="98"/>
        <v>5.1851486148016599E-12</v>
      </c>
      <c r="AD84" s="2">
        <f t="shared" si="98"/>
        <v>5.4444060455417428E-12</v>
      </c>
      <c r="AE84" s="2">
        <f t="shared" si="98"/>
        <v>5.7166263478188297E-12</v>
      </c>
      <c r="AF84" s="2">
        <f t="shared" si="98"/>
        <v>6.0024576652097711E-12</v>
      </c>
      <c r="AG84" s="2">
        <f t="shared" si="98"/>
        <v>6.3025805484702598E-12</v>
      </c>
      <c r="AH84" s="2">
        <f t="shared" si="98"/>
        <v>6.6177095758937725E-12</v>
      </c>
      <c r="AI84" s="2">
        <f t="shared" si="98"/>
        <v>6.9485950546884614E-12</v>
      </c>
      <c r="AJ84" s="2">
        <f t="shared" si="98"/>
        <v>7.2960248074228839E-12</v>
      </c>
      <c r="AK84" s="2">
        <f t="shared" si="98"/>
        <v>7.6608260477940284E-12</v>
      </c>
      <c r="AL84" s="2">
        <f t="shared" si="98"/>
        <v>8.0438673501837296E-12</v>
      </c>
      <c r="AM84" s="2">
        <f t="shared" si="98"/>
        <v>8.4460607176929164E-12</v>
      </c>
      <c r="AN84" s="2">
        <f t="shared" si="98"/>
        <v>8.8683637535775623E-12</v>
      </c>
      <c r="AO84" s="2">
        <f t="shared" si="98"/>
        <v>9.3117819412564401E-12</v>
      </c>
      <c r="AP84" s="2">
        <f>AP79-AP83+AP78</f>
        <v>9.7773710383192616E-12</v>
      </c>
      <c r="AQ84" s="2">
        <f>AQ79-AQ83+AQ78</f>
        <v>1.0266239590235224E-11</v>
      </c>
      <c r="AR84" s="2"/>
    </row>
    <row r="85" spans="1:44" x14ac:dyDescent="0.25">
      <c r="B85" s="2"/>
      <c r="C85" s="2"/>
      <c r="D85" s="2"/>
      <c r="E85" s="2"/>
      <c r="F85" s="2"/>
      <c r="G85" s="2"/>
      <c r="H85" s="2"/>
      <c r="I85" s="63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</row>
    <row r="86" spans="1:44" x14ac:dyDescent="0.25">
      <c r="A86" t="s">
        <v>56</v>
      </c>
      <c r="B86" s="2"/>
      <c r="C86" s="2"/>
      <c r="D86" s="2"/>
      <c r="E86" s="2"/>
      <c r="F86" s="2"/>
      <c r="G86" s="2"/>
      <c r="H86" s="2"/>
      <c r="I86" s="63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 spans="1:44" x14ac:dyDescent="0.25">
      <c r="A87" t="s">
        <v>80</v>
      </c>
      <c r="B87" s="2">
        <f>B6</f>
        <v>0</v>
      </c>
      <c r="C87" s="2">
        <f t="shared" ref="C87:AQ87" si="99">C6</f>
        <v>0</v>
      </c>
      <c r="D87" s="2">
        <f t="shared" si="99"/>
        <v>0</v>
      </c>
      <c r="E87" s="2">
        <f t="shared" si="99"/>
        <v>1</v>
      </c>
      <c r="F87" s="2">
        <f t="shared" si="99"/>
        <v>2</v>
      </c>
      <c r="G87" s="2">
        <f t="shared" si="99"/>
        <v>3</v>
      </c>
      <c r="H87" s="2">
        <f t="shared" si="99"/>
        <v>4</v>
      </c>
      <c r="I87" s="63">
        <f t="shared" si="99"/>
        <v>5</v>
      </c>
      <c r="J87" s="2">
        <f t="shared" si="99"/>
        <v>6</v>
      </c>
      <c r="K87" s="2">
        <f t="shared" si="99"/>
        <v>7</v>
      </c>
      <c r="L87" s="2">
        <f t="shared" si="99"/>
        <v>8</v>
      </c>
      <c r="M87" s="2">
        <f t="shared" si="99"/>
        <v>9</v>
      </c>
      <c r="N87" s="2">
        <f t="shared" si="99"/>
        <v>10</v>
      </c>
      <c r="O87" s="2">
        <f t="shared" si="99"/>
        <v>11</v>
      </c>
      <c r="P87" s="2">
        <f t="shared" si="99"/>
        <v>12</v>
      </c>
      <c r="Q87" s="2">
        <f t="shared" si="99"/>
        <v>13</v>
      </c>
      <c r="R87" s="2">
        <f t="shared" si="99"/>
        <v>14</v>
      </c>
      <c r="S87" s="2">
        <f t="shared" si="99"/>
        <v>15</v>
      </c>
      <c r="T87" s="2">
        <f t="shared" si="99"/>
        <v>16</v>
      </c>
      <c r="U87" s="2">
        <f t="shared" si="99"/>
        <v>17</v>
      </c>
      <c r="V87" s="2">
        <f t="shared" si="99"/>
        <v>18</v>
      </c>
      <c r="W87" s="2">
        <f t="shared" si="99"/>
        <v>19</v>
      </c>
      <c r="X87" s="2">
        <f t="shared" si="99"/>
        <v>20</v>
      </c>
      <c r="Y87" s="2">
        <f t="shared" si="99"/>
        <v>21</v>
      </c>
      <c r="Z87" s="2">
        <f t="shared" si="99"/>
        <v>22</v>
      </c>
      <c r="AA87" s="2">
        <f t="shared" si="99"/>
        <v>23</v>
      </c>
      <c r="AB87" s="2">
        <f t="shared" si="99"/>
        <v>24</v>
      </c>
      <c r="AC87" s="2">
        <f t="shared" si="99"/>
        <v>25</v>
      </c>
      <c r="AD87" s="2">
        <f t="shared" si="99"/>
        <v>26</v>
      </c>
      <c r="AE87" s="2">
        <f t="shared" si="99"/>
        <v>27</v>
      </c>
      <c r="AF87" s="2">
        <f t="shared" si="99"/>
        <v>28</v>
      </c>
      <c r="AG87" s="2">
        <f t="shared" si="99"/>
        <v>29</v>
      </c>
      <c r="AH87" s="2">
        <f t="shared" si="99"/>
        <v>30</v>
      </c>
      <c r="AI87" s="2">
        <f t="shared" si="99"/>
        <v>31</v>
      </c>
      <c r="AJ87" s="2">
        <f t="shared" si="99"/>
        <v>32</v>
      </c>
      <c r="AK87" s="2">
        <f t="shared" si="99"/>
        <v>33</v>
      </c>
      <c r="AL87" s="2">
        <f t="shared" si="99"/>
        <v>34</v>
      </c>
      <c r="AM87" s="2">
        <f t="shared" si="99"/>
        <v>35</v>
      </c>
      <c r="AN87" s="2">
        <f t="shared" si="99"/>
        <v>36</v>
      </c>
      <c r="AO87" s="2">
        <f t="shared" si="99"/>
        <v>37</v>
      </c>
      <c r="AP87" s="2">
        <f t="shared" si="99"/>
        <v>0</v>
      </c>
      <c r="AQ87" s="2">
        <f t="shared" si="99"/>
        <v>0</v>
      </c>
      <c r="AR87" s="2"/>
    </row>
    <row r="88" spans="1:44" x14ac:dyDescent="0.25">
      <c r="A88" t="s">
        <v>72</v>
      </c>
      <c r="B88" s="2">
        <f>B45*$N$2</f>
        <v>0</v>
      </c>
      <c r="C88" s="2">
        <f t="shared" ref="C88:O88" si="100">C45*$N$2</f>
        <v>0</v>
      </c>
      <c r="D88" s="2">
        <f t="shared" si="100"/>
        <v>0</v>
      </c>
      <c r="E88" s="2">
        <f t="shared" si="100"/>
        <v>0</v>
      </c>
      <c r="F88" s="2">
        <f t="shared" si="100"/>
        <v>0</v>
      </c>
      <c r="G88" s="2">
        <f t="shared" si="100"/>
        <v>0</v>
      </c>
      <c r="H88" s="2">
        <f t="shared" si="100"/>
        <v>6650</v>
      </c>
      <c r="I88" s="63">
        <f t="shared" si="100"/>
        <v>6650</v>
      </c>
      <c r="J88" s="2">
        <f t="shared" si="100"/>
        <v>0</v>
      </c>
      <c r="K88" s="2">
        <f t="shared" si="100"/>
        <v>0</v>
      </c>
      <c r="L88" s="2">
        <f t="shared" si="100"/>
        <v>0</v>
      </c>
      <c r="M88" s="2">
        <f t="shared" si="100"/>
        <v>0</v>
      </c>
      <c r="N88" s="2">
        <f t="shared" si="100"/>
        <v>0</v>
      </c>
      <c r="O88" s="2">
        <f t="shared" si="100"/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</row>
    <row r="89" spans="1:44" x14ac:dyDescent="0.25">
      <c r="A89" t="s">
        <v>81</v>
      </c>
      <c r="B89" s="2">
        <f>(1+$R$4)^($I$6-B6)*B88-B88</f>
        <v>0</v>
      </c>
      <c r="C89" s="2">
        <f t="shared" ref="C89:H89" si="101">(1+$R$4)^($I$6-C6)*C88-C88</f>
        <v>0</v>
      </c>
      <c r="D89" s="2">
        <f t="shared" si="101"/>
        <v>0</v>
      </c>
      <c r="E89" s="2">
        <f t="shared" si="101"/>
        <v>0</v>
      </c>
      <c r="F89" s="2">
        <f t="shared" si="101"/>
        <v>0</v>
      </c>
      <c r="G89" s="2">
        <f t="shared" si="101"/>
        <v>0</v>
      </c>
      <c r="H89" s="2">
        <f t="shared" si="101"/>
        <v>332.5</v>
      </c>
      <c r="I89" s="63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</row>
    <row r="90" spans="1:44" x14ac:dyDescent="0.25">
      <c r="A90" t="s">
        <v>82</v>
      </c>
      <c r="B90" s="2">
        <f>SUM(B88:B88)</f>
        <v>0</v>
      </c>
      <c r="C90" s="2">
        <f>SUM(C88:C88)</f>
        <v>0</v>
      </c>
      <c r="D90" s="2">
        <f>SUM(D88:D88)</f>
        <v>0</v>
      </c>
      <c r="E90" s="2">
        <f>SUM(E88:E88)</f>
        <v>0</v>
      </c>
      <c r="F90" s="2">
        <f>SUM(F88:F88)</f>
        <v>0</v>
      </c>
      <c r="G90" s="2">
        <f>SUM(G88:G89)</f>
        <v>0</v>
      </c>
      <c r="H90" s="2">
        <f t="shared" ref="H90:W90" si="102">SUM(H88:H89)</f>
        <v>6982.5</v>
      </c>
      <c r="I90" s="63">
        <f t="shared" si="102"/>
        <v>6650</v>
      </c>
      <c r="J90" s="2">
        <f t="shared" si="102"/>
        <v>0</v>
      </c>
      <c r="K90" s="2">
        <f t="shared" si="102"/>
        <v>0</v>
      </c>
      <c r="L90" s="2">
        <f t="shared" si="102"/>
        <v>0</v>
      </c>
      <c r="M90" s="2">
        <f t="shared" si="102"/>
        <v>0</v>
      </c>
      <c r="N90" s="2">
        <f t="shared" si="102"/>
        <v>0</v>
      </c>
      <c r="O90" s="2">
        <f t="shared" si="102"/>
        <v>0</v>
      </c>
      <c r="P90" s="2">
        <f t="shared" si="102"/>
        <v>0</v>
      </c>
      <c r="Q90" s="2">
        <f t="shared" si="102"/>
        <v>0</v>
      </c>
      <c r="R90" s="2">
        <f t="shared" si="102"/>
        <v>0</v>
      </c>
      <c r="S90" s="2">
        <f t="shared" si="102"/>
        <v>0</v>
      </c>
      <c r="T90" s="2">
        <f t="shared" si="102"/>
        <v>0</v>
      </c>
      <c r="U90" s="2">
        <f t="shared" si="102"/>
        <v>0</v>
      </c>
      <c r="V90" s="2">
        <f t="shared" si="102"/>
        <v>0</v>
      </c>
      <c r="W90" s="2">
        <f t="shared" si="102"/>
        <v>0</v>
      </c>
      <c r="X90" s="2">
        <f>SUM(X88:X89)</f>
        <v>0</v>
      </c>
      <c r="Y90" s="2">
        <f>SUM(Y88:Y89)</f>
        <v>0</v>
      </c>
      <c r="Z90" s="2">
        <f>SUM(Z88:Z89)</f>
        <v>0</v>
      </c>
      <c r="AA90" s="2">
        <f>SUM(AA88:AA89)</f>
        <v>0</v>
      </c>
      <c r="AB90" s="2">
        <f>SUM(AB88:AB89)</f>
        <v>0</v>
      </c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</row>
    <row r="91" spans="1:44" x14ac:dyDescent="0.25">
      <c r="A91" t="s">
        <v>83</v>
      </c>
      <c r="B91" s="2">
        <v>0</v>
      </c>
      <c r="C91" s="2">
        <f>B90+B91</f>
        <v>0</v>
      </c>
      <c r="D91" s="2">
        <f t="shared" ref="D91:I91" si="103">C90+C91</f>
        <v>0</v>
      </c>
      <c r="E91" s="2">
        <f t="shared" si="103"/>
        <v>0</v>
      </c>
      <c r="F91" s="2">
        <f t="shared" si="103"/>
        <v>0</v>
      </c>
      <c r="G91" s="2">
        <f t="shared" si="103"/>
        <v>0</v>
      </c>
      <c r="H91" s="2">
        <f t="shared" si="103"/>
        <v>0</v>
      </c>
      <c r="I91" s="63">
        <f t="shared" si="103"/>
        <v>6982.5</v>
      </c>
      <c r="J91" s="2">
        <f t="shared" ref="J91:AQ91" si="104">I96</f>
        <v>13077.359305303698</v>
      </c>
      <c r="K91" s="2">
        <f t="shared" si="104"/>
        <v>11965.756152352295</v>
      </c>
      <c r="L91" s="2">
        <f t="shared" si="104"/>
        <v>10798.572841753321</v>
      </c>
      <c r="M91" s="2">
        <f t="shared" si="104"/>
        <v>9573.0303656243996</v>
      </c>
      <c r="N91" s="2">
        <f t="shared" si="104"/>
        <v>8286.2107656890312</v>
      </c>
      <c r="O91" s="2">
        <f t="shared" si="104"/>
        <v>6935.0501857568943</v>
      </c>
      <c r="P91" s="2">
        <f t="shared" si="104"/>
        <v>5516.3315768281509</v>
      </c>
      <c r="Q91" s="2">
        <f t="shared" si="104"/>
        <v>4026.6770374529701</v>
      </c>
      <c r="R91" s="2">
        <f t="shared" si="104"/>
        <v>2462.53977110903</v>
      </c>
      <c r="S91" s="2">
        <f t="shared" si="104"/>
        <v>820.19564144789319</v>
      </c>
      <c r="T91" s="2">
        <f t="shared" si="104"/>
        <v>7.9580786405131221E-13</v>
      </c>
      <c r="U91" s="2">
        <f t="shared" si="104"/>
        <v>8.3559825725387778E-13</v>
      </c>
      <c r="V91" s="2">
        <f t="shared" si="104"/>
        <v>8.7737817011657164E-13</v>
      </c>
      <c r="W91" s="2">
        <f t="shared" si="104"/>
        <v>9.2124707862240027E-13</v>
      </c>
      <c r="X91" s="2">
        <f t="shared" si="104"/>
        <v>9.6730943255352024E-13</v>
      </c>
      <c r="Y91" s="2">
        <f t="shared" si="104"/>
        <v>1.0156749041811963E-12</v>
      </c>
      <c r="Z91" s="2">
        <f t="shared" si="104"/>
        <v>1.0664586493902561E-12</v>
      </c>
      <c r="AA91" s="2">
        <f t="shared" si="104"/>
        <v>1.1197815818597688E-12</v>
      </c>
      <c r="AB91" s="2">
        <f t="shared" si="104"/>
        <v>1.1757706609527574E-12</v>
      </c>
      <c r="AC91" s="2">
        <f t="shared" si="104"/>
        <v>1.2345591940003953E-12</v>
      </c>
      <c r="AD91" s="2">
        <f t="shared" si="104"/>
        <v>1.296287153700415E-12</v>
      </c>
      <c r="AE91" s="2">
        <f t="shared" si="104"/>
        <v>1.3611015113854357E-12</v>
      </c>
      <c r="AF91" s="2">
        <f t="shared" si="104"/>
        <v>1.4291565869547074E-12</v>
      </c>
      <c r="AG91" s="2">
        <f t="shared" si="104"/>
        <v>1.5006144163024428E-12</v>
      </c>
      <c r="AH91" s="2">
        <f t="shared" si="104"/>
        <v>1.575645137117565E-12</v>
      </c>
      <c r="AI91" s="2">
        <f t="shared" si="104"/>
        <v>1.6544273939734431E-12</v>
      </c>
      <c r="AJ91" s="2">
        <f t="shared" si="104"/>
        <v>1.7371487636721153E-12</v>
      </c>
      <c r="AK91" s="2">
        <f t="shared" si="104"/>
        <v>1.824006201855721E-12</v>
      </c>
      <c r="AL91" s="2">
        <f t="shared" si="104"/>
        <v>1.9152065119485071E-12</v>
      </c>
      <c r="AM91" s="2">
        <f t="shared" si="104"/>
        <v>2.0109668375459324E-12</v>
      </c>
      <c r="AN91" s="2">
        <f t="shared" si="104"/>
        <v>2.1115151794232291E-12</v>
      </c>
      <c r="AO91" s="2">
        <f t="shared" si="104"/>
        <v>2.2170909383943906E-12</v>
      </c>
      <c r="AP91" s="2">
        <f t="shared" si="104"/>
        <v>2.32794548531411E-12</v>
      </c>
      <c r="AQ91" s="2">
        <f t="shared" si="104"/>
        <v>2.4443427595798154E-12</v>
      </c>
      <c r="AR91" s="2"/>
    </row>
    <row r="92" spans="1:44" x14ac:dyDescent="0.25">
      <c r="A92" t="s">
        <v>84</v>
      </c>
      <c r="B92" s="2"/>
      <c r="C92" s="2"/>
      <c r="D92" s="2"/>
      <c r="E92" s="2"/>
      <c r="F92" s="2"/>
      <c r="G92" s="2"/>
      <c r="H92" s="2"/>
      <c r="I92" s="70">
        <f>(1+$R$2)^$V$2*$R$2/((1+$R$2)^$V$2-1)</f>
        <v>0.1295045749654567</v>
      </c>
      <c r="J92" s="3">
        <f t="shared" ref="J92:Y92" si="105">(1+$R$2)^$V$2*$R$2/((1+$R$2)^$V$2-1)</f>
        <v>0.1295045749654567</v>
      </c>
      <c r="K92" s="3">
        <f t="shared" si="105"/>
        <v>0.1295045749654567</v>
      </c>
      <c r="L92" s="3">
        <f t="shared" si="105"/>
        <v>0.1295045749654567</v>
      </c>
      <c r="M92" s="3">
        <f t="shared" si="105"/>
        <v>0.1295045749654567</v>
      </c>
      <c r="N92" s="3">
        <f t="shared" si="105"/>
        <v>0.1295045749654567</v>
      </c>
      <c r="O92" s="3">
        <f t="shared" si="105"/>
        <v>0.1295045749654567</v>
      </c>
      <c r="P92" s="3">
        <f t="shared" si="105"/>
        <v>0.1295045749654567</v>
      </c>
      <c r="Q92" s="3">
        <f t="shared" si="105"/>
        <v>0.1295045749654567</v>
      </c>
      <c r="R92" s="3">
        <f t="shared" si="105"/>
        <v>0.1295045749654567</v>
      </c>
      <c r="S92" s="3">
        <f t="shared" si="105"/>
        <v>0.1295045749654567</v>
      </c>
      <c r="T92" s="3">
        <f t="shared" si="105"/>
        <v>0.1295045749654567</v>
      </c>
      <c r="U92" s="3">
        <f t="shared" si="105"/>
        <v>0.1295045749654567</v>
      </c>
      <c r="V92" s="3">
        <f t="shared" si="105"/>
        <v>0.1295045749654567</v>
      </c>
      <c r="W92" s="3">
        <f t="shared" si="105"/>
        <v>0.1295045749654567</v>
      </c>
      <c r="X92" s="3">
        <f t="shared" si="105"/>
        <v>0.1295045749654567</v>
      </c>
      <c r="Y92" s="3">
        <f t="shared" si="105"/>
        <v>0.1295045749654567</v>
      </c>
      <c r="Z92" s="3">
        <f t="shared" ref="Z92:AO92" si="106">(1+$R$2)^$V$2*$R$2/((1+$R$2)^$V$2-1)</f>
        <v>0.1295045749654567</v>
      </c>
      <c r="AA92" s="3">
        <f t="shared" si="106"/>
        <v>0.1295045749654567</v>
      </c>
      <c r="AB92" s="3">
        <f t="shared" si="106"/>
        <v>0.1295045749654567</v>
      </c>
      <c r="AC92" s="3">
        <f t="shared" si="106"/>
        <v>0.1295045749654567</v>
      </c>
      <c r="AD92" s="3">
        <f t="shared" si="106"/>
        <v>0.1295045749654567</v>
      </c>
      <c r="AE92" s="3">
        <f t="shared" si="106"/>
        <v>0.1295045749654567</v>
      </c>
      <c r="AF92" s="3">
        <f t="shared" si="106"/>
        <v>0.1295045749654567</v>
      </c>
      <c r="AG92" s="3">
        <f t="shared" si="106"/>
        <v>0.1295045749654567</v>
      </c>
      <c r="AH92" s="3">
        <f t="shared" si="106"/>
        <v>0.1295045749654567</v>
      </c>
      <c r="AI92" s="3">
        <f t="shared" si="106"/>
        <v>0.1295045749654567</v>
      </c>
      <c r="AJ92" s="3">
        <f t="shared" si="106"/>
        <v>0.1295045749654567</v>
      </c>
      <c r="AK92" s="3">
        <f t="shared" si="106"/>
        <v>0.1295045749654567</v>
      </c>
      <c r="AL92" s="3">
        <f t="shared" si="106"/>
        <v>0.1295045749654567</v>
      </c>
      <c r="AM92" s="3">
        <f t="shared" si="106"/>
        <v>0.1295045749654567</v>
      </c>
      <c r="AN92" s="3">
        <f t="shared" si="106"/>
        <v>0.1295045749654567</v>
      </c>
      <c r="AO92" s="3">
        <f t="shared" si="106"/>
        <v>0.1295045749654567</v>
      </c>
      <c r="AP92" s="3">
        <f>(1+$R$2)^$V$2*$R$2/((1+$R$2)^$V$2-1)</f>
        <v>0.1295045749654567</v>
      </c>
      <c r="AQ92" s="3">
        <f>(1+$R$2)^$V$2*$R$2/((1+$R$2)^$V$2-1)</f>
        <v>0.1295045749654567</v>
      </c>
      <c r="AR92" s="2"/>
    </row>
    <row r="93" spans="1:44" x14ac:dyDescent="0.25">
      <c r="A93" t="s">
        <v>86</v>
      </c>
      <c r="B93" s="2"/>
      <c r="C93" s="2"/>
      <c r="D93" s="2"/>
      <c r="E93" s="2"/>
      <c r="F93" s="2"/>
      <c r="G93" s="2"/>
      <c r="H93" s="2"/>
      <c r="I93" s="63">
        <f>I92*$I$91</f>
        <v>904.26569469630135</v>
      </c>
      <c r="J93" s="2">
        <f>J92*($I$91+$I$90)</f>
        <v>1765.4711182165884</v>
      </c>
      <c r="K93" s="2">
        <f>K92*($I$91+$I$90+$J$90)</f>
        <v>1765.4711182165884</v>
      </c>
      <c r="L93" s="2">
        <f>L92*($I$91+$I$90+$J$90+$K$90)</f>
        <v>1765.4711182165884</v>
      </c>
      <c r="M93" s="2">
        <f>M92*($I$91+$I$90+$J$90+$K$90+$L$90)</f>
        <v>1765.4711182165884</v>
      </c>
      <c r="N93" s="2">
        <f>N92*($I$91+$I$90+$J$90+$K$90+$L$90+$M$90)</f>
        <v>1765.4711182165884</v>
      </c>
      <c r="O93" s="2">
        <f>O92*($I$91+$I$90+$J$90+$K$90+$L$90+$M$90+$N$90)</f>
        <v>1765.4711182165884</v>
      </c>
      <c r="P93" s="2">
        <f>P92*($I$91+$I$90+$J$90+$K$90+$L$90+$M$90+$N$90+$O$90)</f>
        <v>1765.4711182165884</v>
      </c>
      <c r="Q93" s="2">
        <f>Q92*($I$91+$I$90+$J$90+$K$90+$L$90+$M$90+$N$90+$O$90+$P$90)</f>
        <v>1765.4711182165884</v>
      </c>
      <c r="R93" s="2">
        <f>R92*($I$91+$I$90+$J$90+$K$90+$L$90+$M$90+$N$90+$O$90+$P$90+$Q$90)</f>
        <v>1765.4711182165884</v>
      </c>
      <c r="S93" s="2">
        <f>S92*($I$90+$J$90+$K$90+$L$90+$M$90+$N$90+$O$90+$P$90+$Q$90)</f>
        <v>861.20542352028701</v>
      </c>
      <c r="T93" s="2">
        <f>T92*($J$90+$K$90+$L$90+$M$90+$N$90+$O$90+$P$90+$Q$90)</f>
        <v>0</v>
      </c>
      <c r="U93" s="2">
        <f>U92*($K$90+$L$90+$M$90+$N$90+$O$90+$P$90+$Q$90)</f>
        <v>0</v>
      </c>
      <c r="V93" s="2">
        <f>V92*($L$90+$M$90+$N$90+$O$90+$P$90+$Q$90)</f>
        <v>0</v>
      </c>
      <c r="W93" s="2">
        <f>W92*($M$90+$N$90+$O$90+$P$90+$Q$90)</f>
        <v>0</v>
      </c>
      <c r="X93" s="2">
        <f>X92*($N$90+$O$90+$P$90+$Q$90)</f>
        <v>0</v>
      </c>
      <c r="Y93" s="2">
        <f>Y92*($O$90+$P$90+$Q$90)</f>
        <v>0</v>
      </c>
      <c r="Z93" s="2">
        <f>Z92*($P$90+$Q$90)</f>
        <v>0</v>
      </c>
      <c r="AA93" s="2">
        <f>AA92*($Q$90)</f>
        <v>0</v>
      </c>
      <c r="AB93" s="2">
        <f>AB92*0</f>
        <v>0</v>
      </c>
      <c r="AC93" s="2">
        <f t="shared" ref="AC93:AQ93" si="107">AC92*0</f>
        <v>0</v>
      </c>
      <c r="AD93" s="2">
        <f t="shared" si="107"/>
        <v>0</v>
      </c>
      <c r="AE93" s="2">
        <f t="shared" si="107"/>
        <v>0</v>
      </c>
      <c r="AF93" s="2">
        <f t="shared" si="107"/>
        <v>0</v>
      </c>
      <c r="AG93" s="2">
        <f t="shared" si="107"/>
        <v>0</v>
      </c>
      <c r="AH93" s="2">
        <f t="shared" si="107"/>
        <v>0</v>
      </c>
      <c r="AI93" s="2">
        <f t="shared" si="107"/>
        <v>0</v>
      </c>
      <c r="AJ93" s="2">
        <f t="shared" si="107"/>
        <v>0</v>
      </c>
      <c r="AK93" s="2">
        <f t="shared" si="107"/>
        <v>0</v>
      </c>
      <c r="AL93" s="2">
        <f t="shared" si="107"/>
        <v>0</v>
      </c>
      <c r="AM93" s="2">
        <f t="shared" si="107"/>
        <v>0</v>
      </c>
      <c r="AN93" s="2">
        <f t="shared" si="107"/>
        <v>0</v>
      </c>
      <c r="AO93" s="2">
        <f t="shared" si="107"/>
        <v>0</v>
      </c>
      <c r="AP93" s="2">
        <f t="shared" si="107"/>
        <v>0</v>
      </c>
      <c r="AQ93" s="2">
        <f t="shared" si="107"/>
        <v>0</v>
      </c>
      <c r="AR93" s="2"/>
    </row>
    <row r="94" spans="1:44" x14ac:dyDescent="0.25">
      <c r="A94" t="s">
        <v>87</v>
      </c>
      <c r="B94" s="2"/>
      <c r="C94" s="2"/>
      <c r="D94" s="2"/>
      <c r="E94" s="2"/>
      <c r="F94" s="2"/>
      <c r="G94" s="2"/>
      <c r="H94" s="2"/>
      <c r="I94" s="63">
        <f>$R$2*I91</f>
        <v>349.125</v>
      </c>
      <c r="J94" s="2">
        <f t="shared" ref="J94:Y94" si="108">$R$2*J91</f>
        <v>653.86796526518492</v>
      </c>
      <c r="K94" s="2">
        <f t="shared" si="108"/>
        <v>598.2878076176147</v>
      </c>
      <c r="L94" s="2">
        <f t="shared" si="108"/>
        <v>539.92864208766605</v>
      </c>
      <c r="M94" s="2">
        <f t="shared" si="108"/>
        <v>478.65151828121998</v>
      </c>
      <c r="N94" s="2">
        <f t="shared" si="108"/>
        <v>414.31053828445158</v>
      </c>
      <c r="O94" s="2">
        <f t="shared" si="108"/>
        <v>346.75250928784476</v>
      </c>
      <c r="P94" s="2">
        <f t="shared" si="108"/>
        <v>275.81657884140753</v>
      </c>
      <c r="Q94" s="2">
        <f t="shared" si="108"/>
        <v>201.33385187264852</v>
      </c>
      <c r="R94" s="2">
        <f t="shared" si="108"/>
        <v>123.1269885554515</v>
      </c>
      <c r="S94" s="2">
        <f t="shared" si="108"/>
        <v>41.009782072394664</v>
      </c>
      <c r="T94" s="2">
        <f t="shared" si="108"/>
        <v>3.9790393202565614E-14</v>
      </c>
      <c r="U94" s="2">
        <f t="shared" si="108"/>
        <v>4.177991286269389E-14</v>
      </c>
      <c r="V94" s="2">
        <f t="shared" si="108"/>
        <v>4.3868908505828582E-14</v>
      </c>
      <c r="W94" s="2">
        <f t="shared" si="108"/>
        <v>4.6062353931120017E-14</v>
      </c>
      <c r="X94" s="2">
        <f t="shared" si="108"/>
        <v>4.8365471627676012E-14</v>
      </c>
      <c r="Y94" s="2">
        <f t="shared" si="108"/>
        <v>5.0783745209059815E-14</v>
      </c>
      <c r="Z94" s="2">
        <f t="shared" ref="Z94:AO94" si="109">$R$2*Z91</f>
        <v>5.332293246951281E-14</v>
      </c>
      <c r="AA94" s="2">
        <f t="shared" si="109"/>
        <v>5.5989079092988442E-14</v>
      </c>
      <c r="AB94" s="2">
        <f t="shared" si="109"/>
        <v>5.8788533047637871E-14</v>
      </c>
      <c r="AC94" s="2">
        <f t="shared" si="109"/>
        <v>6.1727959700019769E-14</v>
      </c>
      <c r="AD94" s="2">
        <f t="shared" si="109"/>
        <v>6.4814357685020754E-14</v>
      </c>
      <c r="AE94" s="2">
        <f t="shared" si="109"/>
        <v>6.8055075569271791E-14</v>
      </c>
      <c r="AF94" s="2">
        <f t="shared" si="109"/>
        <v>7.1457829347735376E-14</v>
      </c>
      <c r="AG94" s="2">
        <f t="shared" si="109"/>
        <v>7.5030720815122141E-14</v>
      </c>
      <c r="AH94" s="2">
        <f t="shared" si="109"/>
        <v>7.8782256855878253E-14</v>
      </c>
      <c r="AI94" s="2">
        <f t="shared" si="109"/>
        <v>8.2721369698672167E-14</v>
      </c>
      <c r="AJ94" s="2">
        <f t="shared" si="109"/>
        <v>8.6857438183605775E-14</v>
      </c>
      <c r="AK94" s="2">
        <f t="shared" si="109"/>
        <v>9.1200310092786059E-14</v>
      </c>
      <c r="AL94" s="2">
        <f t="shared" si="109"/>
        <v>9.5760325597425365E-14</v>
      </c>
      <c r="AM94" s="2">
        <f t="shared" si="109"/>
        <v>1.0054834187729663E-13</v>
      </c>
      <c r="AN94" s="2">
        <f t="shared" si="109"/>
        <v>1.0557575897116146E-13</v>
      </c>
      <c r="AO94" s="2">
        <f t="shared" si="109"/>
        <v>1.1085454691971953E-13</v>
      </c>
      <c r="AP94" s="2">
        <f>$R$2*AP91</f>
        <v>1.1639727426570551E-13</v>
      </c>
      <c r="AQ94" s="2">
        <f>$R$2*AQ91</f>
        <v>1.2221713797899078E-13</v>
      </c>
      <c r="AR94" s="2"/>
    </row>
    <row r="95" spans="1:44" x14ac:dyDescent="0.25">
      <c r="A95" t="s">
        <v>88</v>
      </c>
      <c r="B95" s="2"/>
      <c r="C95" s="2"/>
      <c r="D95" s="2"/>
      <c r="E95" s="2"/>
      <c r="F95" s="2"/>
      <c r="G95" s="2"/>
      <c r="H95" s="2"/>
      <c r="I95" s="63">
        <f>I93-I94</f>
        <v>555.14069469630135</v>
      </c>
      <c r="J95" s="2">
        <f t="shared" ref="J95:Y95" si="110">J93-J94</f>
        <v>1111.6031529514034</v>
      </c>
      <c r="K95" s="2">
        <f t="shared" si="110"/>
        <v>1167.1833105989735</v>
      </c>
      <c r="L95" s="2">
        <f t="shared" si="110"/>
        <v>1225.5424761289223</v>
      </c>
      <c r="M95" s="2">
        <f t="shared" si="110"/>
        <v>1286.8195999353684</v>
      </c>
      <c r="N95" s="2">
        <f t="shared" si="110"/>
        <v>1351.1605799321369</v>
      </c>
      <c r="O95" s="2">
        <f t="shared" si="110"/>
        <v>1418.7186089287436</v>
      </c>
      <c r="P95" s="2">
        <f t="shared" si="110"/>
        <v>1489.6545393751808</v>
      </c>
      <c r="Q95" s="2">
        <f t="shared" si="110"/>
        <v>1564.1372663439399</v>
      </c>
      <c r="R95" s="2">
        <f t="shared" si="110"/>
        <v>1642.3441296611368</v>
      </c>
      <c r="S95" s="2">
        <f t="shared" si="110"/>
        <v>820.1956414478924</v>
      </c>
      <c r="T95" s="2">
        <f t="shared" si="110"/>
        <v>-3.9790393202565614E-14</v>
      </c>
      <c r="U95" s="2">
        <f t="shared" si="110"/>
        <v>-4.177991286269389E-14</v>
      </c>
      <c r="V95" s="2">
        <f t="shared" si="110"/>
        <v>-4.3868908505828582E-14</v>
      </c>
      <c r="W95" s="2">
        <f t="shared" si="110"/>
        <v>-4.6062353931120017E-14</v>
      </c>
      <c r="X95" s="2">
        <f t="shared" si="110"/>
        <v>-4.8365471627676012E-14</v>
      </c>
      <c r="Y95" s="2">
        <f t="shared" si="110"/>
        <v>-5.0783745209059815E-14</v>
      </c>
      <c r="Z95" s="2">
        <f t="shared" ref="Z95:AO95" si="111">Z93-Z94</f>
        <v>-5.332293246951281E-14</v>
      </c>
      <c r="AA95" s="2">
        <f t="shared" si="111"/>
        <v>-5.5989079092988442E-14</v>
      </c>
      <c r="AB95" s="2">
        <f t="shared" si="111"/>
        <v>-5.8788533047637871E-14</v>
      </c>
      <c r="AC95" s="2">
        <f t="shared" si="111"/>
        <v>-6.1727959700019769E-14</v>
      </c>
      <c r="AD95" s="2">
        <f t="shared" si="111"/>
        <v>-6.4814357685020754E-14</v>
      </c>
      <c r="AE95" s="2">
        <f t="shared" si="111"/>
        <v>-6.8055075569271791E-14</v>
      </c>
      <c r="AF95" s="2">
        <f t="shared" si="111"/>
        <v>-7.1457829347735376E-14</v>
      </c>
      <c r="AG95" s="2">
        <f t="shared" si="111"/>
        <v>-7.5030720815122141E-14</v>
      </c>
      <c r="AH95" s="2">
        <f t="shared" si="111"/>
        <v>-7.8782256855878253E-14</v>
      </c>
      <c r="AI95" s="2">
        <f t="shared" si="111"/>
        <v>-8.2721369698672167E-14</v>
      </c>
      <c r="AJ95" s="2">
        <f t="shared" si="111"/>
        <v>-8.6857438183605775E-14</v>
      </c>
      <c r="AK95" s="2">
        <f t="shared" si="111"/>
        <v>-9.1200310092786059E-14</v>
      </c>
      <c r="AL95" s="2">
        <f t="shared" si="111"/>
        <v>-9.5760325597425365E-14</v>
      </c>
      <c r="AM95" s="2">
        <f t="shared" si="111"/>
        <v>-1.0054834187729663E-13</v>
      </c>
      <c r="AN95" s="2">
        <f t="shared" si="111"/>
        <v>-1.0557575897116146E-13</v>
      </c>
      <c r="AO95" s="2">
        <f t="shared" si="111"/>
        <v>-1.1085454691971953E-13</v>
      </c>
      <c r="AP95" s="2">
        <f>AP93-AP94</f>
        <v>-1.1639727426570551E-13</v>
      </c>
      <c r="AQ95" s="2">
        <f>AQ93-AQ94</f>
        <v>-1.2221713797899078E-13</v>
      </c>
      <c r="AR95" s="2"/>
    </row>
    <row r="96" spans="1:44" x14ac:dyDescent="0.25">
      <c r="A96" t="s">
        <v>89</v>
      </c>
      <c r="B96" s="2"/>
      <c r="C96" s="2"/>
      <c r="D96" s="2"/>
      <c r="E96" s="2"/>
      <c r="F96" s="2"/>
      <c r="G96" s="2"/>
      <c r="H96" s="2"/>
      <c r="I96" s="63">
        <f>I91-I95+I90</f>
        <v>13077.359305303698</v>
      </c>
      <c r="J96" s="2">
        <f t="shared" ref="J96:Y96" si="112">J91-J95+J90</f>
        <v>11965.756152352295</v>
      </c>
      <c r="K96" s="2">
        <f t="shared" si="112"/>
        <v>10798.572841753321</v>
      </c>
      <c r="L96" s="2">
        <f t="shared" si="112"/>
        <v>9573.0303656243996</v>
      </c>
      <c r="M96" s="2">
        <f t="shared" si="112"/>
        <v>8286.2107656890312</v>
      </c>
      <c r="N96" s="2">
        <f t="shared" si="112"/>
        <v>6935.0501857568943</v>
      </c>
      <c r="O96" s="2">
        <f t="shared" si="112"/>
        <v>5516.3315768281509</v>
      </c>
      <c r="P96" s="2">
        <f t="shared" si="112"/>
        <v>4026.6770374529701</v>
      </c>
      <c r="Q96" s="2">
        <f t="shared" si="112"/>
        <v>2462.53977110903</v>
      </c>
      <c r="R96" s="2">
        <f t="shared" si="112"/>
        <v>820.19564144789319</v>
      </c>
      <c r="S96" s="2">
        <f t="shared" si="112"/>
        <v>7.9580786405131221E-13</v>
      </c>
      <c r="T96" s="2">
        <f t="shared" si="112"/>
        <v>8.3559825725387778E-13</v>
      </c>
      <c r="U96" s="2">
        <f t="shared" si="112"/>
        <v>8.7737817011657164E-13</v>
      </c>
      <c r="V96" s="2">
        <f t="shared" si="112"/>
        <v>9.2124707862240027E-13</v>
      </c>
      <c r="W96" s="2">
        <f t="shared" si="112"/>
        <v>9.6730943255352024E-13</v>
      </c>
      <c r="X96" s="2">
        <f t="shared" si="112"/>
        <v>1.0156749041811963E-12</v>
      </c>
      <c r="Y96" s="2">
        <f t="shared" si="112"/>
        <v>1.0664586493902561E-12</v>
      </c>
      <c r="Z96" s="2">
        <f t="shared" ref="Z96:AO96" si="113">Z91-Z95+Z90</f>
        <v>1.1197815818597688E-12</v>
      </c>
      <c r="AA96" s="2">
        <f t="shared" si="113"/>
        <v>1.1757706609527574E-12</v>
      </c>
      <c r="AB96" s="2">
        <f t="shared" si="113"/>
        <v>1.2345591940003953E-12</v>
      </c>
      <c r="AC96" s="2">
        <f t="shared" si="113"/>
        <v>1.296287153700415E-12</v>
      </c>
      <c r="AD96" s="2">
        <f t="shared" si="113"/>
        <v>1.3611015113854357E-12</v>
      </c>
      <c r="AE96" s="2">
        <f t="shared" si="113"/>
        <v>1.4291565869547074E-12</v>
      </c>
      <c r="AF96" s="2">
        <f t="shared" si="113"/>
        <v>1.5006144163024428E-12</v>
      </c>
      <c r="AG96" s="2">
        <f t="shared" si="113"/>
        <v>1.575645137117565E-12</v>
      </c>
      <c r="AH96" s="2">
        <f t="shared" si="113"/>
        <v>1.6544273939734431E-12</v>
      </c>
      <c r="AI96" s="2">
        <f t="shared" si="113"/>
        <v>1.7371487636721153E-12</v>
      </c>
      <c r="AJ96" s="2">
        <f t="shared" si="113"/>
        <v>1.824006201855721E-12</v>
      </c>
      <c r="AK96" s="2">
        <f t="shared" si="113"/>
        <v>1.9152065119485071E-12</v>
      </c>
      <c r="AL96" s="2">
        <f t="shared" si="113"/>
        <v>2.0109668375459324E-12</v>
      </c>
      <c r="AM96" s="2">
        <f t="shared" si="113"/>
        <v>2.1115151794232291E-12</v>
      </c>
      <c r="AN96" s="2">
        <f t="shared" si="113"/>
        <v>2.2170909383943906E-12</v>
      </c>
      <c r="AO96" s="2">
        <f t="shared" si="113"/>
        <v>2.32794548531411E-12</v>
      </c>
      <c r="AP96" s="2">
        <f>AP91-AP95+AP90</f>
        <v>2.4443427595798154E-12</v>
      </c>
      <c r="AQ96" s="2">
        <f>AQ91-AQ95+AQ90</f>
        <v>2.5665598975588061E-12</v>
      </c>
      <c r="AR96" s="2"/>
    </row>
    <row r="97" spans="1:56" x14ac:dyDescent="0.25">
      <c r="B97" s="2"/>
      <c r="C97" s="2"/>
      <c r="D97" s="2"/>
      <c r="E97" s="2"/>
      <c r="F97" s="2"/>
      <c r="G97" s="2"/>
      <c r="H97" s="2"/>
      <c r="I97" s="6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</row>
    <row r="98" spans="1:56" x14ac:dyDescent="0.25">
      <c r="B98" s="2"/>
      <c r="C98" s="2"/>
      <c r="D98" s="2"/>
      <c r="E98" s="2"/>
      <c r="F98" s="2"/>
      <c r="G98" s="2"/>
      <c r="H98" s="2"/>
      <c r="I98" s="6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</row>
    <row r="99" spans="1:56" x14ac:dyDescent="0.25">
      <c r="A99" s="1" t="s">
        <v>90</v>
      </c>
    </row>
    <row r="100" spans="1:56" x14ac:dyDescent="0.25">
      <c r="A100" t="s">
        <v>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 s="59">
        <f>0.1*SUM($B$45:I45)</f>
        <v>1900</v>
      </c>
      <c r="J100">
        <f>0.1*SUM($B$45:J45)</f>
        <v>1900</v>
      </c>
      <c r="K100">
        <f>0.1*SUM($B$45:K45)</f>
        <v>1900</v>
      </c>
      <c r="L100">
        <f>0.1*SUM($B$45:L45)</f>
        <v>1900</v>
      </c>
      <c r="M100">
        <f>0.1*SUM($B$45:M45)</f>
        <v>1900</v>
      </c>
      <c r="N100">
        <f>0.1*SUM($B$45:N45)</f>
        <v>1900</v>
      </c>
      <c r="O100">
        <f>0.1*SUM($B$45:O45)</f>
        <v>1900</v>
      </c>
      <c r="P100">
        <f>0.1*SUM($B$45:P45)</f>
        <v>1900</v>
      </c>
      <c r="Q100">
        <f>0.1*SUM($B$45:Q45)</f>
        <v>1900</v>
      </c>
      <c r="R100">
        <f>0.1*SUM($B$45:R45)</f>
        <v>1900</v>
      </c>
      <c r="S100">
        <f>0.1*SUM(J45:S45)</f>
        <v>0</v>
      </c>
      <c r="T100">
        <f t="shared" ref="T100:AI100" si="114">0.1*SUM(K45:T45)</f>
        <v>0</v>
      </c>
      <c r="U100">
        <f t="shared" si="114"/>
        <v>0</v>
      </c>
      <c r="V100">
        <f t="shared" si="114"/>
        <v>0</v>
      </c>
      <c r="W100">
        <f t="shared" si="114"/>
        <v>0</v>
      </c>
      <c r="X100">
        <f t="shared" si="114"/>
        <v>0</v>
      </c>
      <c r="Y100">
        <f t="shared" si="114"/>
        <v>0</v>
      </c>
      <c r="Z100">
        <f t="shared" si="114"/>
        <v>0</v>
      </c>
      <c r="AA100">
        <f t="shared" si="114"/>
        <v>0</v>
      </c>
      <c r="AB100">
        <f t="shared" si="114"/>
        <v>0</v>
      </c>
      <c r="AC100">
        <f t="shared" si="114"/>
        <v>0</v>
      </c>
      <c r="AD100">
        <f t="shared" si="114"/>
        <v>0</v>
      </c>
      <c r="AE100">
        <f t="shared" si="114"/>
        <v>0</v>
      </c>
      <c r="AF100">
        <f t="shared" si="114"/>
        <v>0</v>
      </c>
      <c r="AG100">
        <f t="shared" si="114"/>
        <v>0</v>
      </c>
      <c r="AH100">
        <f t="shared" si="114"/>
        <v>0</v>
      </c>
      <c r="AI100">
        <f t="shared" si="114"/>
        <v>0</v>
      </c>
      <c r="AJ100">
        <f t="shared" ref="AJ100:AQ100" si="115">0.1*SUM(AA45:AJ45)</f>
        <v>0</v>
      </c>
      <c r="AK100">
        <f t="shared" si="115"/>
        <v>0</v>
      </c>
      <c r="AL100">
        <f t="shared" si="115"/>
        <v>0</v>
      </c>
      <c r="AM100">
        <f t="shared" si="115"/>
        <v>0</v>
      </c>
      <c r="AN100">
        <f t="shared" si="115"/>
        <v>0</v>
      </c>
      <c r="AO100">
        <f t="shared" si="115"/>
        <v>0</v>
      </c>
      <c r="AP100">
        <f t="shared" si="115"/>
        <v>0</v>
      </c>
      <c r="AQ100">
        <f t="shared" si="115"/>
        <v>0</v>
      </c>
    </row>
    <row r="102" spans="1:56" x14ac:dyDescent="0.25">
      <c r="A102" t="s">
        <v>97</v>
      </c>
    </row>
    <row r="103" spans="1:56" x14ac:dyDescent="0.25">
      <c r="A103" s="7" t="s">
        <v>80</v>
      </c>
      <c r="I103" s="59">
        <v>1</v>
      </c>
      <c r="J103">
        <f>I103+1</f>
        <v>2</v>
      </c>
      <c r="K103">
        <f t="shared" ref="K103:Z103" si="116">J103+1</f>
        <v>3</v>
      </c>
      <c r="L103">
        <f t="shared" si="116"/>
        <v>4</v>
      </c>
      <c r="M103">
        <f t="shared" si="116"/>
        <v>5</v>
      </c>
      <c r="N103">
        <f t="shared" si="116"/>
        <v>6</v>
      </c>
      <c r="O103">
        <f t="shared" si="116"/>
        <v>7</v>
      </c>
      <c r="P103">
        <f t="shared" si="116"/>
        <v>8</v>
      </c>
      <c r="Q103">
        <f t="shared" si="116"/>
        <v>9</v>
      </c>
      <c r="R103">
        <f t="shared" si="116"/>
        <v>10</v>
      </c>
      <c r="S103">
        <f t="shared" si="116"/>
        <v>11</v>
      </c>
      <c r="T103">
        <f t="shared" si="116"/>
        <v>12</v>
      </c>
      <c r="U103">
        <f t="shared" si="116"/>
        <v>13</v>
      </c>
      <c r="V103">
        <f t="shared" si="116"/>
        <v>14</v>
      </c>
      <c r="W103">
        <f t="shared" si="116"/>
        <v>15</v>
      </c>
      <c r="X103">
        <f t="shared" si="116"/>
        <v>16</v>
      </c>
      <c r="Y103">
        <f t="shared" si="116"/>
        <v>17</v>
      </c>
      <c r="Z103">
        <f t="shared" si="116"/>
        <v>18</v>
      </c>
      <c r="AA103">
        <f t="shared" ref="AA103:AP103" si="117">Z103+1</f>
        <v>19</v>
      </c>
      <c r="AB103">
        <f t="shared" si="117"/>
        <v>20</v>
      </c>
      <c r="AC103">
        <f t="shared" si="117"/>
        <v>21</v>
      </c>
      <c r="AD103">
        <f t="shared" si="117"/>
        <v>22</v>
      </c>
      <c r="AE103">
        <f t="shared" si="117"/>
        <v>23</v>
      </c>
      <c r="AF103">
        <f t="shared" si="117"/>
        <v>24</v>
      </c>
      <c r="AG103">
        <f t="shared" si="117"/>
        <v>25</v>
      </c>
      <c r="AH103">
        <f t="shared" si="117"/>
        <v>26</v>
      </c>
      <c r="AI103">
        <f t="shared" si="117"/>
        <v>27</v>
      </c>
      <c r="AJ103">
        <f t="shared" si="117"/>
        <v>28</v>
      </c>
      <c r="AK103">
        <f t="shared" si="117"/>
        <v>29</v>
      </c>
      <c r="AL103">
        <f t="shared" si="117"/>
        <v>30</v>
      </c>
      <c r="AM103">
        <f t="shared" si="117"/>
        <v>31</v>
      </c>
      <c r="AN103">
        <f t="shared" si="117"/>
        <v>32</v>
      </c>
      <c r="AO103">
        <f t="shared" si="117"/>
        <v>33</v>
      </c>
      <c r="AP103">
        <f t="shared" si="117"/>
        <v>34</v>
      </c>
      <c r="AQ103">
        <f t="shared" ref="AQ103:AW103" si="118">AP103+1</f>
        <v>35</v>
      </c>
      <c r="AR103">
        <f t="shared" si="118"/>
        <v>36</v>
      </c>
      <c r="AS103">
        <f t="shared" si="118"/>
        <v>37</v>
      </c>
      <c r="AT103">
        <f t="shared" si="118"/>
        <v>38</v>
      </c>
      <c r="AU103">
        <f t="shared" si="118"/>
        <v>39</v>
      </c>
      <c r="AV103">
        <f t="shared" si="118"/>
        <v>40</v>
      </c>
      <c r="AW103">
        <f t="shared" si="118"/>
        <v>41</v>
      </c>
    </row>
    <row r="104" spans="1:56" x14ac:dyDescent="0.25">
      <c r="A104" s="6">
        <v>0</v>
      </c>
      <c r="B104">
        <f>B6</f>
        <v>0</v>
      </c>
      <c r="C104">
        <f t="shared" ref="C104:AW104" si="119">C6</f>
        <v>0</v>
      </c>
      <c r="D104">
        <f t="shared" si="119"/>
        <v>0</v>
      </c>
      <c r="E104">
        <f t="shared" si="119"/>
        <v>1</v>
      </c>
      <c r="F104">
        <f t="shared" si="119"/>
        <v>2</v>
      </c>
      <c r="G104">
        <f t="shared" si="119"/>
        <v>3</v>
      </c>
      <c r="H104">
        <f t="shared" si="119"/>
        <v>4</v>
      </c>
      <c r="I104" s="59">
        <f t="shared" si="119"/>
        <v>5</v>
      </c>
      <c r="J104">
        <f t="shared" si="119"/>
        <v>6</v>
      </c>
      <c r="K104">
        <f t="shared" si="119"/>
        <v>7</v>
      </c>
      <c r="L104">
        <f t="shared" si="119"/>
        <v>8</v>
      </c>
      <c r="M104">
        <f t="shared" si="119"/>
        <v>9</v>
      </c>
      <c r="N104">
        <f t="shared" si="119"/>
        <v>10</v>
      </c>
      <c r="O104">
        <f t="shared" si="119"/>
        <v>11</v>
      </c>
      <c r="P104">
        <f t="shared" si="119"/>
        <v>12</v>
      </c>
      <c r="Q104">
        <f t="shared" si="119"/>
        <v>13</v>
      </c>
      <c r="R104">
        <f t="shared" si="119"/>
        <v>14</v>
      </c>
      <c r="S104">
        <f t="shared" si="119"/>
        <v>15</v>
      </c>
      <c r="T104">
        <f t="shared" si="119"/>
        <v>16</v>
      </c>
      <c r="U104">
        <f t="shared" si="119"/>
        <v>17</v>
      </c>
      <c r="V104">
        <f t="shared" si="119"/>
        <v>18</v>
      </c>
      <c r="W104">
        <f t="shared" si="119"/>
        <v>19</v>
      </c>
      <c r="X104">
        <f t="shared" si="119"/>
        <v>20</v>
      </c>
      <c r="Y104">
        <f t="shared" si="119"/>
        <v>21</v>
      </c>
      <c r="Z104">
        <f t="shared" si="119"/>
        <v>22</v>
      </c>
      <c r="AA104">
        <f t="shared" si="119"/>
        <v>23</v>
      </c>
      <c r="AB104">
        <f t="shared" si="119"/>
        <v>24</v>
      </c>
      <c r="AC104">
        <f t="shared" si="119"/>
        <v>25</v>
      </c>
      <c r="AD104">
        <f t="shared" si="119"/>
        <v>26</v>
      </c>
      <c r="AE104">
        <f t="shared" si="119"/>
        <v>27</v>
      </c>
      <c r="AF104">
        <f t="shared" si="119"/>
        <v>28</v>
      </c>
      <c r="AG104">
        <f t="shared" si="119"/>
        <v>29</v>
      </c>
      <c r="AH104">
        <f t="shared" si="119"/>
        <v>30</v>
      </c>
      <c r="AI104">
        <f t="shared" si="119"/>
        <v>31</v>
      </c>
      <c r="AJ104">
        <f t="shared" si="119"/>
        <v>32</v>
      </c>
      <c r="AK104">
        <f t="shared" si="119"/>
        <v>33</v>
      </c>
      <c r="AL104">
        <f t="shared" si="119"/>
        <v>34</v>
      </c>
      <c r="AM104">
        <f t="shared" si="119"/>
        <v>35</v>
      </c>
      <c r="AN104">
        <f t="shared" si="119"/>
        <v>36</v>
      </c>
      <c r="AO104">
        <f t="shared" si="119"/>
        <v>37</v>
      </c>
      <c r="AP104">
        <f t="shared" si="119"/>
        <v>0</v>
      </c>
      <c r="AQ104">
        <f t="shared" si="119"/>
        <v>0</v>
      </c>
      <c r="AR104">
        <f t="shared" si="119"/>
        <v>0</v>
      </c>
      <c r="AS104">
        <f t="shared" si="119"/>
        <v>0</v>
      </c>
      <c r="AT104">
        <f t="shared" si="119"/>
        <v>0</v>
      </c>
      <c r="AU104">
        <f t="shared" si="119"/>
        <v>0</v>
      </c>
      <c r="AV104">
        <f t="shared" si="119"/>
        <v>0</v>
      </c>
      <c r="AW104">
        <f t="shared" si="119"/>
        <v>0</v>
      </c>
    </row>
    <row r="105" spans="1:56" x14ac:dyDescent="0.25">
      <c r="A105">
        <v>0</v>
      </c>
      <c r="B105" s="2">
        <f>B30</f>
        <v>0</v>
      </c>
      <c r="C105" s="2"/>
      <c r="D105" s="2"/>
      <c r="E105" s="2"/>
      <c r="F105" s="2"/>
      <c r="G105" s="2"/>
      <c r="H105" s="2"/>
      <c r="I105" s="6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>
        <f>SUM(C105:AZ105)</f>
        <v>0</v>
      </c>
      <c r="BC105" s="2"/>
      <c r="BD105" s="2"/>
    </row>
    <row r="106" spans="1:56" x14ac:dyDescent="0.25">
      <c r="A106">
        <v>0</v>
      </c>
      <c r="B106" s="2">
        <f>C30</f>
        <v>0</v>
      </c>
      <c r="C106" s="2"/>
      <c r="D106" s="2"/>
      <c r="E106" s="2"/>
      <c r="F106" s="2"/>
      <c r="G106" s="2"/>
      <c r="H106" s="2"/>
      <c r="I106" s="63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>
        <f t="shared" ref="BB106:BB121" si="120">SUM(C106:AZ106)</f>
        <v>0</v>
      </c>
      <c r="BC106" s="2"/>
      <c r="BD106" s="2"/>
    </row>
    <row r="107" spans="1:56" x14ac:dyDescent="0.25">
      <c r="A107">
        <v>0</v>
      </c>
      <c r="B107" s="2">
        <f>D30</f>
        <v>0</v>
      </c>
      <c r="C107" s="2"/>
      <c r="D107" s="2"/>
      <c r="E107" s="2"/>
      <c r="F107" s="2"/>
      <c r="G107" s="2"/>
      <c r="H107" s="2"/>
      <c r="I107" s="6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>
        <f t="shared" si="120"/>
        <v>0</v>
      </c>
      <c r="BC107" s="2"/>
      <c r="BD107" s="2"/>
    </row>
    <row r="108" spans="1:56" x14ac:dyDescent="0.25">
      <c r="A108">
        <f t="shared" ref="A108:A122" si="121">A107+1</f>
        <v>1</v>
      </c>
      <c r="B108" s="2">
        <f>E30</f>
        <v>250</v>
      </c>
      <c r="C108" s="2"/>
      <c r="D108" s="2"/>
      <c r="E108" s="2"/>
      <c r="F108" s="2"/>
      <c r="G108" s="2"/>
      <c r="H108" s="2"/>
      <c r="I108" s="63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>
        <f t="shared" si="120"/>
        <v>0</v>
      </c>
      <c r="BC108" s="2"/>
      <c r="BD108" s="2"/>
    </row>
    <row r="109" spans="1:56" x14ac:dyDescent="0.25">
      <c r="A109">
        <f t="shared" si="121"/>
        <v>2</v>
      </c>
      <c r="B109" s="2">
        <f>F30</f>
        <v>1730</v>
      </c>
      <c r="C109" s="2"/>
      <c r="D109" s="2"/>
      <c r="E109" s="2"/>
      <c r="F109" s="2"/>
      <c r="G109" s="2"/>
      <c r="H109" s="2"/>
      <c r="I109" s="63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>
        <f t="shared" si="120"/>
        <v>0</v>
      </c>
      <c r="BC109" s="2"/>
      <c r="BD109" s="2"/>
    </row>
    <row r="110" spans="1:56" x14ac:dyDescent="0.25">
      <c r="A110">
        <f t="shared" si="121"/>
        <v>3</v>
      </c>
      <c r="B110" s="2">
        <f>G30</f>
        <v>1979.9999999999991</v>
      </c>
      <c r="C110" s="2"/>
      <c r="D110" s="2"/>
      <c r="E110" s="2"/>
      <c r="F110" s="2"/>
      <c r="G110" s="2"/>
      <c r="H110" s="2"/>
      <c r="I110" s="63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>
        <f t="shared" si="120"/>
        <v>0</v>
      </c>
      <c r="BC110" s="2"/>
      <c r="BD110" s="2"/>
    </row>
    <row r="111" spans="1:56" x14ac:dyDescent="0.25">
      <c r="A111">
        <f t="shared" si="121"/>
        <v>4</v>
      </c>
      <c r="B111" s="2">
        <f>H30</f>
        <v>15630</v>
      </c>
      <c r="C111" s="2"/>
      <c r="D111" s="2"/>
      <c r="E111" s="2"/>
      <c r="F111" s="2"/>
      <c r="G111" s="2"/>
      <c r="H111" s="2"/>
      <c r="I111" s="6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>
        <f t="shared" si="120"/>
        <v>0</v>
      </c>
      <c r="BC111" s="2"/>
      <c r="BD111" s="2"/>
    </row>
    <row r="112" spans="1:56" x14ac:dyDescent="0.25">
      <c r="A112">
        <f t="shared" si="121"/>
        <v>5</v>
      </c>
      <c r="B112" s="2">
        <f>I30</f>
        <v>14000</v>
      </c>
      <c r="C112" s="2"/>
      <c r="D112" s="2"/>
      <c r="E112" s="2"/>
      <c r="F112" s="2"/>
      <c r="G112" s="2"/>
      <c r="H112" s="2"/>
      <c r="I112" s="63">
        <f>$K$5*SUM($B$105:$B$112)</f>
        <v>9597.1428571428569</v>
      </c>
      <c r="J112" s="2">
        <f>$K$5*(SUM($B$105:$B$112)-SUM($I$112:I112))</f>
        <v>6855.1020408163267</v>
      </c>
      <c r="K112" s="2">
        <f>$K$5*(SUM($B$105:$B$112)-SUM($I$112:J112))</f>
        <v>4896.5014577259471</v>
      </c>
      <c r="L112" s="2">
        <f>$K$5*(SUM($B$105:$B$112)-SUM($I$112:K112))</f>
        <v>3497.5010412328202</v>
      </c>
      <c r="M112" s="2">
        <f>$K$5*(SUM($B$105:$B$112)-SUM($I$112:L112))</f>
        <v>2498.2150294520147</v>
      </c>
      <c r="N112" s="2">
        <f>$K$5*(SUM($B$105:$B$112)-SUM($I$112:M112))</f>
        <v>1784.4393067514393</v>
      </c>
      <c r="O112" s="2">
        <f>$K$5*(SUM($B$105:$B$112)-SUM($I$112:N112))</f>
        <v>1274.5995048224565</v>
      </c>
      <c r="P112" s="2">
        <f>$K$5*(SUM($B$105:$B$112)-SUM($I$112:O112))</f>
        <v>910.42821773032585</v>
      </c>
      <c r="Q112" s="2">
        <f>$K$5*(SUM($B$105:$B$112)-SUM($I$112:P112))</f>
        <v>650.30586980737587</v>
      </c>
      <c r="R112" s="2">
        <f>SUM($B$105:$B$112)-SUM($I$112:Q112)</f>
        <v>1625.7646745184393</v>
      </c>
      <c r="S112" s="4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>
        <f t="shared" si="120"/>
        <v>33590</v>
      </c>
      <c r="BC112" s="2"/>
      <c r="BD112" s="2"/>
    </row>
    <row r="113" spans="1:56" x14ac:dyDescent="0.25">
      <c r="A113">
        <f t="shared" si="121"/>
        <v>6</v>
      </c>
      <c r="B113" s="2">
        <f>J30</f>
        <v>0</v>
      </c>
      <c r="C113" s="2"/>
      <c r="D113" s="2"/>
      <c r="E113" s="2"/>
      <c r="F113" s="2"/>
      <c r="G113" s="2"/>
      <c r="H113" s="2"/>
      <c r="I113" s="63"/>
      <c r="J113" s="2">
        <f>$K$5*$B$113</f>
        <v>0</v>
      </c>
      <c r="K113" s="2">
        <f>$K$5*($B$113-SUM($J$113:J113))</f>
        <v>0</v>
      </c>
      <c r="L113" s="2">
        <f>$K$5*($B$113-SUM($J$113:K113))</f>
        <v>0</v>
      </c>
      <c r="M113" s="2">
        <f>$K$5*($B$113-SUM($J$113:L113))</f>
        <v>0</v>
      </c>
      <c r="N113" s="2">
        <f>$K$5*($B$113-SUM($J$113:M113))</f>
        <v>0</v>
      </c>
      <c r="O113" s="2">
        <f>$K$5*($B$113-SUM($J$113:N113))</f>
        <v>0</v>
      </c>
      <c r="P113" s="2">
        <f>$K$5*($B$113-SUM($J$113:O113))</f>
        <v>0</v>
      </c>
      <c r="Q113" s="2">
        <f>$K$5*($B$113-SUM($J$113:P113))</f>
        <v>0</v>
      </c>
      <c r="R113" s="2">
        <f>$K$5*($B$113-SUM($J$113:Q113))</f>
        <v>0</v>
      </c>
      <c r="S113" s="2">
        <f>$B$113-SUM($J$113:R113)</f>
        <v>0</v>
      </c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>
        <f t="shared" si="120"/>
        <v>0</v>
      </c>
      <c r="BC113" s="2"/>
      <c r="BD113" s="2"/>
    </row>
    <row r="114" spans="1:56" x14ac:dyDescent="0.25">
      <c r="A114">
        <f t="shared" si="121"/>
        <v>7</v>
      </c>
      <c r="B114" s="2">
        <f>K30</f>
        <v>0</v>
      </c>
      <c r="C114" s="2"/>
      <c r="D114" s="2"/>
      <c r="E114" s="2"/>
      <c r="F114" s="2"/>
      <c r="G114" s="2"/>
      <c r="H114" s="2"/>
      <c r="I114" s="63"/>
      <c r="J114" s="2"/>
      <c r="K114" s="2">
        <f>$K$5*$B$114</f>
        <v>0</v>
      </c>
      <c r="L114" s="2">
        <f>$K$5*($B$114-SUM($K$114:K114))</f>
        <v>0</v>
      </c>
      <c r="M114" s="2">
        <f>$K$5*($B$114-SUM($K$114:L114))</f>
        <v>0</v>
      </c>
      <c r="N114" s="2">
        <f>$K$5*($B$114-SUM($K$114:M114))</f>
        <v>0</v>
      </c>
      <c r="O114" s="2">
        <f>$K$5*($B$114-SUM($K$114:N114))</f>
        <v>0</v>
      </c>
      <c r="P114" s="2">
        <f>$K$5*($B$114-SUM($K$114:O114))</f>
        <v>0</v>
      </c>
      <c r="Q114" s="2">
        <f>$K$5*($B$114-SUM($K$114:P114))</f>
        <v>0</v>
      </c>
      <c r="R114" s="2">
        <f>$K$5*($B$114-SUM($K$114:Q114))</f>
        <v>0</v>
      </c>
      <c r="S114" s="2">
        <f>$K$5*($B$114-SUM($K$114:R114))</f>
        <v>0</v>
      </c>
      <c r="T114" s="2">
        <f>$B$114-SUM($K$114:S114)</f>
        <v>0</v>
      </c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>
        <f t="shared" si="120"/>
        <v>0</v>
      </c>
      <c r="BC114" s="2"/>
      <c r="BD114" s="2"/>
    </row>
    <row r="115" spans="1:56" x14ac:dyDescent="0.25">
      <c r="A115">
        <f t="shared" si="121"/>
        <v>8</v>
      </c>
      <c r="B115" s="2">
        <f>L30</f>
        <v>0</v>
      </c>
      <c r="C115" s="2"/>
      <c r="D115" s="2"/>
      <c r="E115" s="2"/>
      <c r="F115" s="2"/>
      <c r="G115" s="2"/>
      <c r="H115" s="2"/>
      <c r="I115" s="63"/>
      <c r="J115" s="2"/>
      <c r="K115" s="2"/>
      <c r="L115" s="2">
        <f>$K$5*$B$115</f>
        <v>0</v>
      </c>
      <c r="M115" s="2">
        <f>$K$5*($B$115-SUM($L$115:L115))</f>
        <v>0</v>
      </c>
      <c r="N115" s="2">
        <f>$K$5*($B$115-SUM($L$115:M115))</f>
        <v>0</v>
      </c>
      <c r="O115" s="2">
        <f>$K$5*($B$115-SUM($L$115:N115))</f>
        <v>0</v>
      </c>
      <c r="P115" s="2">
        <f>$K$5*($B$115-SUM($L$115:O115))</f>
        <v>0</v>
      </c>
      <c r="Q115" s="2">
        <f>$K$5*($B$115-SUM($L$115:P115))</f>
        <v>0</v>
      </c>
      <c r="R115" s="2">
        <f>$K$5*($B$115-SUM($L$115:Q115))</f>
        <v>0</v>
      </c>
      <c r="S115" s="2">
        <f>$K$5*($B$115-SUM($L$115:R115))</f>
        <v>0</v>
      </c>
      <c r="T115" s="2">
        <f>$K$5*($B$115-SUM($L$115:S115))</f>
        <v>0</v>
      </c>
      <c r="U115" s="2">
        <f>$B$115-SUM($L$115:T115)</f>
        <v>0</v>
      </c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>
        <f t="shared" si="120"/>
        <v>0</v>
      </c>
      <c r="BC115" s="2"/>
      <c r="BD115" s="2"/>
    </row>
    <row r="116" spans="1:56" x14ac:dyDescent="0.25">
      <c r="A116">
        <f t="shared" si="121"/>
        <v>9</v>
      </c>
      <c r="B116" s="2">
        <f>M30</f>
        <v>0</v>
      </c>
      <c r="C116" s="2"/>
      <c r="D116" s="2"/>
      <c r="E116" s="2"/>
      <c r="F116" s="2"/>
      <c r="G116" s="2"/>
      <c r="H116" s="2"/>
      <c r="I116" s="63"/>
      <c r="J116" s="2"/>
      <c r="K116" s="2"/>
      <c r="L116" s="2"/>
      <c r="M116" s="2">
        <f>$K$5*$B$116</f>
        <v>0</v>
      </c>
      <c r="N116" s="2">
        <f>$K$5*($B$116-SUM($M$116:M116))</f>
        <v>0</v>
      </c>
      <c r="O116" s="2">
        <f>$K$5*($B$116-SUM($M$116:N116))</f>
        <v>0</v>
      </c>
      <c r="P116" s="2">
        <f>$K$5*($B$116-SUM($M$116:O116))</f>
        <v>0</v>
      </c>
      <c r="Q116" s="2">
        <f>$K$5*($B$116-SUM($M$116:P116))</f>
        <v>0</v>
      </c>
      <c r="R116" s="2">
        <f>$K$5*($B$116-SUM($M$116:Q116))</f>
        <v>0</v>
      </c>
      <c r="S116" s="2">
        <f>$K$5*($B$116-SUM($M$116:R116))</f>
        <v>0</v>
      </c>
      <c r="T116" s="2">
        <f>$K$5*($B$116-SUM($M$116:S116))</f>
        <v>0</v>
      </c>
      <c r="U116" s="2">
        <f>$K$5*($B$116-SUM($M$116:T116))</f>
        <v>0</v>
      </c>
      <c r="V116" s="2">
        <f>$B$116-SUM($M$116:U116)</f>
        <v>0</v>
      </c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>
        <f t="shared" si="120"/>
        <v>0</v>
      </c>
      <c r="BC116" s="2"/>
      <c r="BD116" s="2"/>
    </row>
    <row r="117" spans="1:56" x14ac:dyDescent="0.25">
      <c r="A117">
        <f t="shared" si="121"/>
        <v>10</v>
      </c>
      <c r="B117" s="2">
        <f>N30</f>
        <v>0</v>
      </c>
      <c r="C117" s="2"/>
      <c r="D117" s="2"/>
      <c r="E117" s="2"/>
      <c r="F117" s="2"/>
      <c r="G117" s="2"/>
      <c r="H117" s="2"/>
      <c r="I117" s="63"/>
      <c r="J117" s="2"/>
      <c r="K117" s="2"/>
      <c r="L117" s="2"/>
      <c r="M117" s="2"/>
      <c r="N117" s="2">
        <f>$K$5*$B$117</f>
        <v>0</v>
      </c>
      <c r="O117" s="2">
        <f>$K$5*($B$117-SUM($N$117:N117))</f>
        <v>0</v>
      </c>
      <c r="P117" s="2">
        <f>$K$5*($B$117-SUM($N$117:O117))</f>
        <v>0</v>
      </c>
      <c r="Q117" s="2">
        <f>$K$5*($B$117-SUM($N$117:P117))</f>
        <v>0</v>
      </c>
      <c r="R117" s="2">
        <f>$K$5*($B$117-SUM($N$117:Q117))</f>
        <v>0</v>
      </c>
      <c r="S117" s="2">
        <f>$K$5*($B$117-SUM($N$117:R117))</f>
        <v>0</v>
      </c>
      <c r="T117" s="2">
        <f>$K$5*($B$117-SUM($N$117:S117))</f>
        <v>0</v>
      </c>
      <c r="U117" s="2">
        <f>$K$5*($B$117-SUM($N$117:T117))</f>
        <v>0</v>
      </c>
      <c r="V117" s="2">
        <f>$K$5*($B$117-SUM($N$117:U117))</f>
        <v>0</v>
      </c>
      <c r="W117" s="2">
        <f>$B$117-SUM($N$117:V117)</f>
        <v>0</v>
      </c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>
        <f t="shared" si="120"/>
        <v>0</v>
      </c>
      <c r="BC117" s="2"/>
      <c r="BD117" s="2"/>
    </row>
    <row r="118" spans="1:56" x14ac:dyDescent="0.25">
      <c r="A118">
        <f t="shared" si="121"/>
        <v>11</v>
      </c>
      <c r="B118" s="2">
        <f>O30</f>
        <v>0</v>
      </c>
      <c r="C118" s="2"/>
      <c r="D118" s="2"/>
      <c r="E118" s="2"/>
      <c r="F118" s="2"/>
      <c r="G118" s="2"/>
      <c r="H118" s="2"/>
      <c r="I118" s="63"/>
      <c r="J118" s="2"/>
      <c r="K118" s="2"/>
      <c r="L118" s="2"/>
      <c r="M118" s="2"/>
      <c r="N118" s="2"/>
      <c r="O118" s="2">
        <f>$K$5*$B$118</f>
        <v>0</v>
      </c>
      <c r="P118" s="2">
        <f>$K$5*($B$118-SUM($O$118:O118))</f>
        <v>0</v>
      </c>
      <c r="Q118" s="2">
        <f>$K$5*($B$118-SUM($O$118:P118))</f>
        <v>0</v>
      </c>
      <c r="R118" s="2">
        <f>$K$5*($B$118-SUM($O$118:Q118))</f>
        <v>0</v>
      </c>
      <c r="S118" s="2">
        <f>$K$5*($B$118-SUM($O$118:R118))</f>
        <v>0</v>
      </c>
      <c r="T118" s="2">
        <f>$K$5*($B$118-SUM($O$118:S118))</f>
        <v>0</v>
      </c>
      <c r="U118" s="2">
        <f>$K$5*($B$118-SUM($O$118:T118))</f>
        <v>0</v>
      </c>
      <c r="V118" s="2">
        <f>$K$5*($B$118-SUM($O$118:U118))</f>
        <v>0</v>
      </c>
      <c r="W118" s="2">
        <f>$K$5*($B$118-SUM($O$118:V118))</f>
        <v>0</v>
      </c>
      <c r="X118" s="2">
        <f>$B$118-SUM($O$118:W118)</f>
        <v>0</v>
      </c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>
        <f t="shared" si="120"/>
        <v>0</v>
      </c>
      <c r="BC118" s="2"/>
      <c r="BD118" s="2"/>
    </row>
    <row r="119" spans="1:56" x14ac:dyDescent="0.25">
      <c r="A119">
        <f t="shared" si="121"/>
        <v>12</v>
      </c>
      <c r="B119" s="2">
        <f>P30</f>
        <v>0</v>
      </c>
      <c r="C119" s="2"/>
      <c r="D119" s="2"/>
      <c r="E119" s="2"/>
      <c r="F119" s="2"/>
      <c r="G119" s="2"/>
      <c r="H119" s="2"/>
      <c r="I119" s="63"/>
      <c r="J119" s="2"/>
      <c r="K119" s="2"/>
      <c r="L119" s="2"/>
      <c r="M119" s="2"/>
      <c r="N119" s="2"/>
      <c r="O119" s="2"/>
      <c r="P119" s="2">
        <f>$K$5*$B$119</f>
        <v>0</v>
      </c>
      <c r="Q119" s="2">
        <f>$K$5*($B$119-SUM($P$119:P119))</f>
        <v>0</v>
      </c>
      <c r="R119" s="2">
        <f>$K$5*($B$119-SUM($P$119:Q119))</f>
        <v>0</v>
      </c>
      <c r="S119" s="2">
        <f>$K$5*($B$119-SUM($P$119:R119))</f>
        <v>0</v>
      </c>
      <c r="T119" s="2">
        <f>$K$5*($B$119-SUM($P$119:S119))</f>
        <v>0</v>
      </c>
      <c r="U119" s="2">
        <f>$K$5*($B$119-SUM($P$119:T119))</f>
        <v>0</v>
      </c>
      <c r="V119" s="2">
        <f>$K$5*($B$119-SUM($P$119:U119))</f>
        <v>0</v>
      </c>
      <c r="W119" s="2">
        <f>$K$5*($B$119-SUM($P$119:V119))</f>
        <v>0</v>
      </c>
      <c r="X119" s="2">
        <f>$K$5*($B$119-SUM($P$119:W119))</f>
        <v>0</v>
      </c>
      <c r="Y119" s="2">
        <f>$B$119-SUM($P$119:X119)</f>
        <v>0</v>
      </c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>
        <f t="shared" si="120"/>
        <v>0</v>
      </c>
      <c r="BC119" s="2"/>
      <c r="BD119" s="2"/>
    </row>
    <row r="120" spans="1:56" x14ac:dyDescent="0.25">
      <c r="A120">
        <f t="shared" si="121"/>
        <v>13</v>
      </c>
      <c r="B120" s="2">
        <f>Q30</f>
        <v>0</v>
      </c>
      <c r="C120" s="2"/>
      <c r="D120" s="2"/>
      <c r="E120" s="2"/>
      <c r="F120" s="2"/>
      <c r="G120" s="2"/>
      <c r="H120" s="2"/>
      <c r="I120" s="63"/>
      <c r="J120" s="2"/>
      <c r="K120" s="2"/>
      <c r="L120" s="2"/>
      <c r="M120" s="2"/>
      <c r="N120" s="2"/>
      <c r="O120" s="2"/>
      <c r="P120" s="2"/>
      <c r="Q120" s="2">
        <f>$K$5*$B$120</f>
        <v>0</v>
      </c>
      <c r="R120" s="2">
        <f>$K$5*($B$120-SUM($Q$120:Q120))</f>
        <v>0</v>
      </c>
      <c r="S120" s="2">
        <f>$K$5*($B$120-SUM($Q$120:R120))</f>
        <v>0</v>
      </c>
      <c r="T120" s="2">
        <f>$K$5*($B$120-SUM($Q$120:S120))</f>
        <v>0</v>
      </c>
      <c r="U120" s="2">
        <f>$K$5*($B$120-SUM($Q$120:T120))</f>
        <v>0</v>
      </c>
      <c r="V120" s="2">
        <f>$K$5*($B$120-SUM($Q$120:U120))</f>
        <v>0</v>
      </c>
      <c r="W120" s="2">
        <f>$K$5*($B$120-SUM($Q$120:V120))</f>
        <v>0</v>
      </c>
      <c r="X120" s="2">
        <f>$K$5*($B$120-SUM($Q$120:W120))</f>
        <v>0</v>
      </c>
      <c r="Y120" s="2">
        <f>$K$5*($B$120-SUM($Q$120:X120))</f>
        <v>0</v>
      </c>
      <c r="Z120" s="2">
        <f>$B$120-SUM($Q$120:Y120)</f>
        <v>0</v>
      </c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>
        <f t="shared" si="120"/>
        <v>0</v>
      </c>
      <c r="BC120" s="2"/>
      <c r="BD120" s="2"/>
    </row>
    <row r="121" spans="1:56" x14ac:dyDescent="0.25">
      <c r="A121">
        <f t="shared" si="121"/>
        <v>14</v>
      </c>
      <c r="B121" s="2">
        <f>R30</f>
        <v>0</v>
      </c>
      <c r="C121" s="2"/>
      <c r="D121" s="2"/>
      <c r="E121" s="2"/>
      <c r="F121" s="2"/>
      <c r="G121" s="2"/>
      <c r="H121" s="2"/>
      <c r="I121" s="63"/>
      <c r="J121" s="2"/>
      <c r="K121" s="2"/>
      <c r="L121" s="2"/>
      <c r="M121" s="2"/>
      <c r="N121" s="2"/>
      <c r="O121" s="2"/>
      <c r="P121" s="2"/>
      <c r="Q121" s="2"/>
      <c r="R121" s="2">
        <f>$K$5*$B$121</f>
        <v>0</v>
      </c>
      <c r="S121" s="2">
        <f>$K$5*($B$121-SUM($R$121:R121))</f>
        <v>0</v>
      </c>
      <c r="T121" s="2">
        <f>$K$5*($B$121-SUM($R$121:S121))</f>
        <v>0</v>
      </c>
      <c r="U121" s="2">
        <f>$K$5*($B$121-SUM($R$121:T121))</f>
        <v>0</v>
      </c>
      <c r="V121" s="2">
        <f>$K$5*($B$121-SUM($R$121:U121))</f>
        <v>0</v>
      </c>
      <c r="W121" s="2">
        <f>$K$5*($B$121-SUM($R$121:V121))</f>
        <v>0</v>
      </c>
      <c r="X121" s="2">
        <f>$K$5*($B$121-SUM($R$121:W121))</f>
        <v>0</v>
      </c>
      <c r="Y121" s="2">
        <f>$K$5*($B$121-SUM($R$121:X121))</f>
        <v>0</v>
      </c>
      <c r="Z121" s="2">
        <f>$K$5*($B$121-SUM($R$121:Y121))</f>
        <v>0</v>
      </c>
      <c r="AA121" s="2">
        <f>$B$121-SUM($R$121:Z121)</f>
        <v>0</v>
      </c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>
        <f t="shared" si="120"/>
        <v>0</v>
      </c>
      <c r="BC121" s="2"/>
      <c r="BD121" s="2"/>
    </row>
    <row r="122" spans="1:56" x14ac:dyDescent="0.25">
      <c r="A122">
        <f t="shared" si="121"/>
        <v>15</v>
      </c>
      <c r="B122" s="2">
        <f>S30</f>
        <v>0</v>
      </c>
      <c r="C122" s="2"/>
      <c r="D122" s="2"/>
      <c r="E122" s="2"/>
      <c r="F122" s="2"/>
      <c r="G122" s="2"/>
      <c r="H122" s="2"/>
      <c r="I122" s="63"/>
      <c r="J122" s="2"/>
      <c r="K122" s="2"/>
      <c r="L122" s="2"/>
      <c r="M122" s="2"/>
      <c r="N122" s="2"/>
      <c r="O122" s="2"/>
      <c r="P122" s="2"/>
      <c r="Q122" s="2"/>
      <c r="R122" s="2"/>
      <c r="S122" s="2">
        <f>$K$5*$B$122</f>
        <v>0</v>
      </c>
      <c r="T122" s="2">
        <f>$K$5*($B$122-SUM($S$122:S122))</f>
        <v>0</v>
      </c>
      <c r="U122" s="2">
        <f>$K$5*($B$122-SUM($S$122:T122))</f>
        <v>0</v>
      </c>
      <c r="V122" s="2">
        <f>$K$5*($B$122-SUM($S$122:U122))</f>
        <v>0</v>
      </c>
      <c r="W122" s="2">
        <f>$K$5*($B$122-SUM($S$122:V122))</f>
        <v>0</v>
      </c>
      <c r="X122" s="2">
        <f>$K$5*($B$122-SUM($S$122:W122))</f>
        <v>0</v>
      </c>
      <c r="Y122" s="2">
        <f>$K$5*($B$122-SUM($S$122:X122))</f>
        <v>0</v>
      </c>
      <c r="Z122" s="2">
        <f>$K$5*($B$122-SUM($S$122:Y122))</f>
        <v>0</v>
      </c>
      <c r="AA122" s="2">
        <f>$K$5*($B$122-SUM($S$122:Z122))</f>
        <v>0</v>
      </c>
      <c r="AB122" s="2">
        <f>$B$122-SUM($S$122:AA122)</f>
        <v>0</v>
      </c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>
        <f t="shared" ref="BB122:BB137" si="122">SUM(C122:AZ122)</f>
        <v>0</v>
      </c>
      <c r="BC122" s="2"/>
      <c r="BD122" s="2"/>
    </row>
    <row r="123" spans="1:56" x14ac:dyDescent="0.25">
      <c r="A123">
        <f t="shared" ref="A123:A138" si="123">A122+1</f>
        <v>16</v>
      </c>
      <c r="B123" s="2">
        <f>T30</f>
        <v>0</v>
      </c>
      <c r="C123" s="2"/>
      <c r="D123" s="2"/>
      <c r="E123" s="2"/>
      <c r="F123" s="2"/>
      <c r="G123" s="2"/>
      <c r="H123" s="2"/>
      <c r="I123" s="63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>
        <f>$K$5*$B$123</f>
        <v>0</v>
      </c>
      <c r="U123" s="2">
        <f>$K$5*($B$123-SUM($T$123:T123))</f>
        <v>0</v>
      </c>
      <c r="V123" s="2">
        <f>$K$5*($B$123-SUM($T$123:U123))</f>
        <v>0</v>
      </c>
      <c r="W123" s="2">
        <f>$K$5*($B$123-SUM($T$123:V123))</f>
        <v>0</v>
      </c>
      <c r="X123" s="2">
        <f>$K$5*($B$123-SUM($T$123:W123))</f>
        <v>0</v>
      </c>
      <c r="Y123" s="2">
        <f>$K$5*($B$123-SUM($T$123:X123))</f>
        <v>0</v>
      </c>
      <c r="Z123" s="2">
        <f>$K$5*($B$123-SUM($T$123:Y123))</f>
        <v>0</v>
      </c>
      <c r="AA123" s="2">
        <f>$K$5*($B$123-SUM($T$123:Z123))</f>
        <v>0</v>
      </c>
      <c r="AB123" s="2">
        <f>$K$5*($B$123-SUM($T$123:AA123))</f>
        <v>0</v>
      </c>
      <c r="AC123" s="2">
        <f>$B$123-SUM($T$123:AB123)</f>
        <v>0</v>
      </c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>
        <f t="shared" si="122"/>
        <v>0</v>
      </c>
      <c r="BC123" s="2"/>
      <c r="BD123" s="2"/>
    </row>
    <row r="124" spans="1:56" x14ac:dyDescent="0.25">
      <c r="A124">
        <f t="shared" si="123"/>
        <v>17</v>
      </c>
      <c r="B124" s="2">
        <f>U30</f>
        <v>0</v>
      </c>
      <c r="C124" s="2"/>
      <c r="D124" s="2"/>
      <c r="E124" s="2"/>
      <c r="F124" s="2"/>
      <c r="G124" s="2"/>
      <c r="H124" s="2"/>
      <c r="I124" s="63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>
        <f>$K$5*$B$124</f>
        <v>0</v>
      </c>
      <c r="V124" s="2">
        <f>$K$5*($B$124-SUM($U$124:U124))</f>
        <v>0</v>
      </c>
      <c r="W124" s="2">
        <f>$K$5*($B$124-SUM($U$124:V124))</f>
        <v>0</v>
      </c>
      <c r="X124" s="2">
        <f>$K$5*($B$124-SUM($U$124:W124))</f>
        <v>0</v>
      </c>
      <c r="Y124" s="2">
        <f>$K$5*($B$124-SUM($U$124:X124))</f>
        <v>0</v>
      </c>
      <c r="Z124" s="2">
        <f>$K$5*($B$124-SUM($U$124:Y124))</f>
        <v>0</v>
      </c>
      <c r="AA124" s="2">
        <f>$K$5*($B$124-SUM($U$124:Z124))</f>
        <v>0</v>
      </c>
      <c r="AB124" s="2">
        <f>$K$5*($B$124-SUM($U$124:AA124))</f>
        <v>0</v>
      </c>
      <c r="AC124" s="2">
        <f>$K$5*($B$124-SUM($U$124:AB124))</f>
        <v>0</v>
      </c>
      <c r="AD124" s="2">
        <f>$B$124-SUM($U$124:AC124)</f>
        <v>0</v>
      </c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>
        <f t="shared" si="122"/>
        <v>0</v>
      </c>
      <c r="BC124" s="2"/>
      <c r="BD124" s="2"/>
    </row>
    <row r="125" spans="1:56" x14ac:dyDescent="0.25">
      <c r="A125">
        <f t="shared" si="123"/>
        <v>18</v>
      </c>
      <c r="B125" s="2">
        <f>V30</f>
        <v>0</v>
      </c>
      <c r="C125" s="2"/>
      <c r="D125" s="2"/>
      <c r="E125" s="2"/>
      <c r="F125" s="2"/>
      <c r="G125" s="2"/>
      <c r="H125" s="2"/>
      <c r="I125" s="6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>
        <f>$K$5*$B$125</f>
        <v>0</v>
      </c>
      <c r="W125" s="2">
        <f>$K$5*($B$125-SUM($V$125:V125))</f>
        <v>0</v>
      </c>
      <c r="X125" s="2">
        <f>$K$5*($B$125-SUM($V$125:W125))</f>
        <v>0</v>
      </c>
      <c r="Y125" s="2">
        <f>$K$5*($B$125-SUM($V$125:X125))</f>
        <v>0</v>
      </c>
      <c r="Z125" s="2">
        <f>$K$5*($B$125-SUM($V$125:Y125))</f>
        <v>0</v>
      </c>
      <c r="AA125" s="2">
        <f>$K$5*($B$125-SUM($V$125:Z125))</f>
        <v>0</v>
      </c>
      <c r="AB125" s="2">
        <f>$K$5*($B$125-SUM($V$125:AA125))</f>
        <v>0</v>
      </c>
      <c r="AC125" s="2">
        <f>$K$5*($B$125-SUM($V$125:AB125))</f>
        <v>0</v>
      </c>
      <c r="AD125" s="2">
        <f>$K$5*($B$125-SUM($V$125:AC125))</f>
        <v>0</v>
      </c>
      <c r="AE125" s="2">
        <f>$B$125-SUM($V$125:AD125)</f>
        <v>0</v>
      </c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>
        <f t="shared" si="122"/>
        <v>0</v>
      </c>
      <c r="BC125" s="2"/>
      <c r="BD125" s="2"/>
    </row>
    <row r="126" spans="1:56" x14ac:dyDescent="0.25">
      <c r="A126">
        <f t="shared" si="123"/>
        <v>19</v>
      </c>
      <c r="B126" s="2">
        <f>W30</f>
        <v>0</v>
      </c>
      <c r="C126" s="2"/>
      <c r="D126" s="2"/>
      <c r="E126" s="2"/>
      <c r="F126" s="2"/>
      <c r="G126" s="2"/>
      <c r="H126" s="2"/>
      <c r="I126" s="6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>
        <f>$K$5*$B$126</f>
        <v>0</v>
      </c>
      <c r="X126" s="2">
        <f>$K$5*($B$126-SUM($W$126:W126))</f>
        <v>0</v>
      </c>
      <c r="Y126" s="2">
        <f>$K$5*($B$126-SUM($W$126:X126))</f>
        <v>0</v>
      </c>
      <c r="Z126" s="2">
        <f>$K$5*($B$126-SUM($W$126:Y126))</f>
        <v>0</v>
      </c>
      <c r="AA126" s="2">
        <f>$K$5*($B$126-SUM($W$126:Z126))</f>
        <v>0</v>
      </c>
      <c r="AB126" s="2">
        <f>$K$5*($B$126-SUM($W$126:AA126))</f>
        <v>0</v>
      </c>
      <c r="AC126" s="2">
        <f>$K$5*($B$126-SUM($W$126:AB126))</f>
        <v>0</v>
      </c>
      <c r="AD126" s="2">
        <f>$K$5*($B$126-SUM($W$126:AC126))</f>
        <v>0</v>
      </c>
      <c r="AE126" s="2">
        <f>$K$5*($B$126-SUM($W$126:AD126))</f>
        <v>0</v>
      </c>
      <c r="AF126" s="2">
        <f>$B$126-SUM($W$126:AE126)</f>
        <v>0</v>
      </c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>
        <f t="shared" si="122"/>
        <v>0</v>
      </c>
      <c r="BC126" s="2"/>
      <c r="BD126" s="2"/>
    </row>
    <row r="127" spans="1:56" x14ac:dyDescent="0.25">
      <c r="A127">
        <f t="shared" si="123"/>
        <v>20</v>
      </c>
      <c r="B127" s="2">
        <f>X30</f>
        <v>0</v>
      </c>
      <c r="C127" s="2"/>
      <c r="D127" s="2"/>
      <c r="E127" s="2"/>
      <c r="F127" s="2"/>
      <c r="G127" s="2"/>
      <c r="H127" s="2"/>
      <c r="I127" s="6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>
        <f>$K$5*$B$127</f>
        <v>0</v>
      </c>
      <c r="Y127" s="2">
        <f>$K$5*($B$127-SUM($X$127:X127))</f>
        <v>0</v>
      </c>
      <c r="Z127" s="2">
        <f>$K$5*($B$127-SUM($X$127:Y127))</f>
        <v>0</v>
      </c>
      <c r="AA127" s="2">
        <f>$K$5*($B$127-SUM($X$127:Z127))</f>
        <v>0</v>
      </c>
      <c r="AB127" s="2">
        <f>$K$5*($B$127-SUM($X$127:AA127))</f>
        <v>0</v>
      </c>
      <c r="AC127" s="2">
        <f>$K$5*($B$127-SUM($X$127:AB127))</f>
        <v>0</v>
      </c>
      <c r="AD127" s="2">
        <f>$K$5*($B$127-SUM($X$127:AC127))</f>
        <v>0</v>
      </c>
      <c r="AE127" s="2">
        <f>$K$5*($B$127-SUM($X$127:AD127))</f>
        <v>0</v>
      </c>
      <c r="AF127" s="2">
        <f>$K$5*($B$127-SUM($X$127:AE127))</f>
        <v>0</v>
      </c>
      <c r="AG127" s="2">
        <f>$B$127-SUM($X$127:AF127)</f>
        <v>0</v>
      </c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>
        <f t="shared" si="122"/>
        <v>0</v>
      </c>
      <c r="BC127" s="2"/>
      <c r="BD127" s="2"/>
    </row>
    <row r="128" spans="1:56" x14ac:dyDescent="0.25">
      <c r="A128">
        <f t="shared" si="123"/>
        <v>21</v>
      </c>
      <c r="B128" s="2">
        <f>Y30</f>
        <v>0</v>
      </c>
      <c r="C128" s="2"/>
      <c r="D128" s="2"/>
      <c r="E128" s="2"/>
      <c r="F128" s="2"/>
      <c r="G128" s="2"/>
      <c r="H128" s="2"/>
      <c r="I128" s="6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>
        <f>$K$5*$B$128</f>
        <v>0</v>
      </c>
      <c r="Z128" s="2">
        <f>$K$5*($B$128-SUM($Y$128:Y128))</f>
        <v>0</v>
      </c>
      <c r="AA128" s="2">
        <f>$K$5*($B$128-SUM($Y$128:Z128))</f>
        <v>0</v>
      </c>
      <c r="AB128" s="2">
        <f>$K$5*($B$128-SUM($Y$128:AA128))</f>
        <v>0</v>
      </c>
      <c r="AC128" s="2">
        <f>$K$5*($B$128-SUM($Y$128:AB128))</f>
        <v>0</v>
      </c>
      <c r="AD128" s="2">
        <f>$K$5*($B$128-SUM($Y$128:AC128))</f>
        <v>0</v>
      </c>
      <c r="AE128" s="2">
        <f>$K$5*($B$128-SUM($Y$128:AD128))</f>
        <v>0</v>
      </c>
      <c r="AF128" s="2">
        <f>$K$5*($B$128-SUM($Y$128:AE128))</f>
        <v>0</v>
      </c>
      <c r="AG128" s="2">
        <f>$K$5*($B$128-SUM($Y$128:AF128))</f>
        <v>0</v>
      </c>
      <c r="AH128" s="2">
        <f>$B$128-SUM($Y$128:AG128)</f>
        <v>0</v>
      </c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>
        <f t="shared" si="122"/>
        <v>0</v>
      </c>
      <c r="BC128" s="2"/>
      <c r="BD128" s="2"/>
    </row>
    <row r="129" spans="1:56" x14ac:dyDescent="0.25">
      <c r="A129">
        <f t="shared" si="123"/>
        <v>22</v>
      </c>
      <c r="B129" s="2">
        <f>Z30</f>
        <v>0</v>
      </c>
      <c r="C129" s="2"/>
      <c r="D129" s="2"/>
      <c r="E129" s="2"/>
      <c r="F129" s="2"/>
      <c r="G129" s="2"/>
      <c r="H129" s="2"/>
      <c r="I129" s="6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>
        <f>$K$5*$B$129</f>
        <v>0</v>
      </c>
      <c r="AA129" s="2">
        <f>$K$5*($B$129-SUM($Z$129:Z129))</f>
        <v>0</v>
      </c>
      <c r="AB129" s="2">
        <f>$K$5*($B$129-SUM($Z$129:AA129))</f>
        <v>0</v>
      </c>
      <c r="AC129" s="2">
        <f>$K$5*($B$129-SUM($Z$129:AB129))</f>
        <v>0</v>
      </c>
      <c r="AD129" s="2">
        <f>$K$5*($B$129-SUM($Z$129:AC129))</f>
        <v>0</v>
      </c>
      <c r="AE129" s="2">
        <f>$K$5*($B$129-SUM($Z$129:AD129))</f>
        <v>0</v>
      </c>
      <c r="AF129" s="2">
        <f>$K$5*($B$129-SUM($Z$129:AE129))</f>
        <v>0</v>
      </c>
      <c r="AG129" s="2">
        <f>$K$5*($B$129-SUM($Z$129:AF129))</f>
        <v>0</v>
      </c>
      <c r="AH129" s="2">
        <f>$K$5*($B$129-SUM($Z$129:AG129))</f>
        <v>0</v>
      </c>
      <c r="AI129" s="2">
        <f>$B$129-SUM($Z$129:AH129)</f>
        <v>0</v>
      </c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>
        <f t="shared" si="122"/>
        <v>0</v>
      </c>
      <c r="BC129" s="2"/>
      <c r="BD129" s="2"/>
    </row>
    <row r="130" spans="1:56" x14ac:dyDescent="0.25">
      <c r="A130">
        <f t="shared" si="123"/>
        <v>23</v>
      </c>
      <c r="B130" s="2">
        <f>AA30</f>
        <v>0</v>
      </c>
      <c r="C130" s="2"/>
      <c r="D130" s="2"/>
      <c r="E130" s="2"/>
      <c r="F130" s="2"/>
      <c r="G130" s="2"/>
      <c r="H130" s="2"/>
      <c r="I130" s="6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>
        <f>$K$5*$B$130</f>
        <v>0</v>
      </c>
      <c r="AB130" s="2">
        <f>$K$5*($B$130-SUM($AA$130:AA130))</f>
        <v>0</v>
      </c>
      <c r="AC130" s="2">
        <f>$K$5*($B$130-SUM($AA$130:AB130))</f>
        <v>0</v>
      </c>
      <c r="AD130" s="2">
        <f>$K$5*($B$130-SUM($AA$130:AC130))</f>
        <v>0</v>
      </c>
      <c r="AE130" s="2">
        <f>$K$5*($B$130-SUM($AA$130:AD130))</f>
        <v>0</v>
      </c>
      <c r="AF130" s="2">
        <f>$K$5*($B$130-SUM($AA$130:AE130))</f>
        <v>0</v>
      </c>
      <c r="AG130" s="2">
        <f>$K$5*($B$130-SUM($AA$130:AF130))</f>
        <v>0</v>
      </c>
      <c r="AH130" s="2">
        <f>$K$5*($B$130-SUM($AA$130:AG130))</f>
        <v>0</v>
      </c>
      <c r="AI130" s="2">
        <f>$K$5*($B$130-SUM($AA$130:AH130))</f>
        <v>0</v>
      </c>
      <c r="AJ130" s="2">
        <f>$B$130-SUM($AA$130:AI130)</f>
        <v>0</v>
      </c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>
        <f t="shared" si="122"/>
        <v>0</v>
      </c>
      <c r="BC130" s="2"/>
      <c r="BD130" s="2"/>
    </row>
    <row r="131" spans="1:56" x14ac:dyDescent="0.25">
      <c r="A131">
        <f t="shared" si="123"/>
        <v>24</v>
      </c>
      <c r="B131" s="2">
        <f>AB30</f>
        <v>0</v>
      </c>
      <c r="C131" s="2"/>
      <c r="D131" s="2"/>
      <c r="E131" s="2"/>
      <c r="F131" s="2"/>
      <c r="G131" s="2"/>
      <c r="H131" s="2"/>
      <c r="I131" s="6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>
        <f>$K$5*$B$131</f>
        <v>0</v>
      </c>
      <c r="AC131" s="2">
        <f>$K$5*($B$131-SUM($AB$131:AB131))</f>
        <v>0</v>
      </c>
      <c r="AD131" s="2">
        <f>$K$5*($B$131-SUM($AB$131:AC131))</f>
        <v>0</v>
      </c>
      <c r="AE131" s="2">
        <f>$K$5*($B$131-SUM($AB$131:AD131))</f>
        <v>0</v>
      </c>
      <c r="AF131" s="2">
        <f>$K$5*($B$131-SUM($AB$131:AE131))</f>
        <v>0</v>
      </c>
      <c r="AG131" s="2">
        <f>$K$5*($B$131-SUM($AB$131:AF131))</f>
        <v>0</v>
      </c>
      <c r="AH131" s="2">
        <f>$K$5*($B$131-SUM($AB$131:AG131))</f>
        <v>0</v>
      </c>
      <c r="AI131" s="2">
        <f>$K$5*($B$131-SUM($AB$131:AH131))</f>
        <v>0</v>
      </c>
      <c r="AJ131" s="2">
        <f>$K$5*($B$131-SUM($AB$131:AI131))</f>
        <v>0</v>
      </c>
      <c r="AK131" s="2">
        <f>$B$131-SUM($AB$131:AJ131)</f>
        <v>0</v>
      </c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>
        <f t="shared" si="122"/>
        <v>0</v>
      </c>
      <c r="BC131" s="2"/>
      <c r="BD131" s="2"/>
    </row>
    <row r="132" spans="1:56" x14ac:dyDescent="0.25">
      <c r="A132">
        <f t="shared" si="123"/>
        <v>25</v>
      </c>
      <c r="B132" s="2">
        <f>AC30</f>
        <v>0</v>
      </c>
      <c r="C132" s="2"/>
      <c r="D132" s="2"/>
      <c r="E132" s="2"/>
      <c r="F132" s="2"/>
      <c r="G132" s="2"/>
      <c r="H132" s="2"/>
      <c r="I132" s="6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>
        <f>$K$5*$B$132</f>
        <v>0</v>
      </c>
      <c r="AD132" s="2">
        <f>$K$5*($B$132-SUM($AC$132:AC132))</f>
        <v>0</v>
      </c>
      <c r="AE132" s="2">
        <f>$K$5*($B$132-SUM($AC$132:AD132))</f>
        <v>0</v>
      </c>
      <c r="AF132" s="2">
        <f>$K$5*($B$132-SUM($AC$132:AE132))</f>
        <v>0</v>
      </c>
      <c r="AG132" s="2">
        <f>$K$5*($B$132-SUM($AC$132:AF132))</f>
        <v>0</v>
      </c>
      <c r="AH132" s="2">
        <f>$K$5*($B$132-SUM($AC$132:AG132))</f>
        <v>0</v>
      </c>
      <c r="AI132" s="2">
        <f>$K$5*($B$132-SUM($AC$132:AH132))</f>
        <v>0</v>
      </c>
      <c r="AJ132" s="2">
        <f>$K$5*($B$132-SUM($AC$132:AI132))</f>
        <v>0</v>
      </c>
      <c r="AK132" s="2">
        <f>$K$5*($B$132-SUM($AC$132:AJ132))</f>
        <v>0</v>
      </c>
      <c r="AL132" s="2">
        <f>$B$132-SUM($AC$132:AK132)</f>
        <v>0</v>
      </c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>
        <f t="shared" si="122"/>
        <v>0</v>
      </c>
      <c r="BC132" s="2"/>
      <c r="BD132" s="2"/>
    </row>
    <row r="133" spans="1:56" x14ac:dyDescent="0.25">
      <c r="A133">
        <f t="shared" si="123"/>
        <v>26</v>
      </c>
      <c r="B133" s="2">
        <f>AD30</f>
        <v>0</v>
      </c>
      <c r="C133" s="2"/>
      <c r="D133" s="2"/>
      <c r="E133" s="2"/>
      <c r="F133" s="2"/>
      <c r="G133" s="2"/>
      <c r="H133" s="2"/>
      <c r="I133" s="6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>
        <f>$K$5*$B$133</f>
        <v>0</v>
      </c>
      <c r="AE133" s="2">
        <f>$K$5*($B$133-SUM($AD$133:AD133))</f>
        <v>0</v>
      </c>
      <c r="AF133" s="2">
        <f>$K$5*($B$133-SUM($AD$133:AE133))</f>
        <v>0</v>
      </c>
      <c r="AG133" s="2">
        <f>$K$5*($B$133-SUM($AD$133:AF133))</f>
        <v>0</v>
      </c>
      <c r="AH133" s="2">
        <f>$K$5*($B$133-SUM($AD$133:AG133))</f>
        <v>0</v>
      </c>
      <c r="AI133" s="2">
        <f>$K$5*($B$133-SUM($AD$133:AH133))</f>
        <v>0</v>
      </c>
      <c r="AJ133" s="2">
        <f>$K$5*($B$133-SUM($AD$133:AI133))</f>
        <v>0</v>
      </c>
      <c r="AK133" s="2">
        <f>$K$5*($B$133-SUM($AD$133:AJ133))</f>
        <v>0</v>
      </c>
      <c r="AL133" s="2">
        <f>$K$5*($B$133-SUM($AD$133:AK133))</f>
        <v>0</v>
      </c>
      <c r="AM133" s="2">
        <f>$B$133-SUM($AD$133:AL133)</f>
        <v>0</v>
      </c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>
        <f t="shared" si="122"/>
        <v>0</v>
      </c>
      <c r="BC133" s="2"/>
      <c r="BD133" s="2"/>
    </row>
    <row r="134" spans="1:56" x14ac:dyDescent="0.25">
      <c r="A134">
        <f t="shared" si="123"/>
        <v>27</v>
      </c>
      <c r="B134" s="2">
        <f>AE30</f>
        <v>0</v>
      </c>
      <c r="C134" s="2"/>
      <c r="D134" s="2"/>
      <c r="E134" s="2"/>
      <c r="F134" s="2"/>
      <c r="G134" s="2"/>
      <c r="H134" s="2"/>
      <c r="I134" s="6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>
        <f>$K$5*$B$134</f>
        <v>0</v>
      </c>
      <c r="AF134" s="2">
        <f>$K$5*($B$134-SUM($AE$134:AE134))</f>
        <v>0</v>
      </c>
      <c r="AG134" s="2">
        <f>$K$5*($B$134-SUM($AE$134:AF134))</f>
        <v>0</v>
      </c>
      <c r="AH134" s="2">
        <f>$K$5*($B$134-SUM($AE$134:AG134))</f>
        <v>0</v>
      </c>
      <c r="AI134" s="2">
        <f>$K$5*($B$134-SUM($AE$134:AH134))</f>
        <v>0</v>
      </c>
      <c r="AJ134" s="2">
        <f>$K$5*($B$134-SUM($AE$134:AI134))</f>
        <v>0</v>
      </c>
      <c r="AK134" s="2">
        <f>$K$5*($B$134-SUM($AE$134:AJ134))</f>
        <v>0</v>
      </c>
      <c r="AL134" s="2">
        <f>$K$5*($B$134-SUM($AE$134:AK134))</f>
        <v>0</v>
      </c>
      <c r="AM134" s="2">
        <f>$K$5*($B$134-SUM($AE$134:AL134))</f>
        <v>0</v>
      </c>
      <c r="AN134" s="2">
        <f>$B$134-SUM($AE$134:AM134)</f>
        <v>0</v>
      </c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>
        <f t="shared" si="122"/>
        <v>0</v>
      </c>
      <c r="BC134" s="2"/>
      <c r="BD134" s="2"/>
    </row>
    <row r="135" spans="1:56" x14ac:dyDescent="0.25">
      <c r="A135">
        <f t="shared" si="123"/>
        <v>28</v>
      </c>
      <c r="B135" s="2">
        <f>AF30</f>
        <v>0</v>
      </c>
      <c r="C135" s="2"/>
      <c r="D135" s="2"/>
      <c r="E135" s="2"/>
      <c r="F135" s="2"/>
      <c r="G135" s="2"/>
      <c r="H135" s="2"/>
      <c r="I135" s="6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>
        <f>$K$5*$B$135</f>
        <v>0</v>
      </c>
      <c r="AG135" s="2">
        <f>$K$5*($B$135-SUM($AF$135:AF135))</f>
        <v>0</v>
      </c>
      <c r="AH135" s="2">
        <f>$K$5*($B$135-SUM($AF$135:AG135))</f>
        <v>0</v>
      </c>
      <c r="AI135" s="2">
        <f>$K$5*($B$135-SUM($AF$135:AH135))</f>
        <v>0</v>
      </c>
      <c r="AJ135" s="2">
        <f>$K$5*($B$135-SUM($AF$135:AI135))</f>
        <v>0</v>
      </c>
      <c r="AK135" s="2">
        <f>$K$5*($B$135-SUM($AF$135:AJ135))</f>
        <v>0</v>
      </c>
      <c r="AL135" s="2">
        <f>$K$5*($B$135-SUM($AF$135:AK135))</f>
        <v>0</v>
      </c>
      <c r="AM135" s="2">
        <f>$K$5*($B$135-SUM($AF$135:AL135))</f>
        <v>0</v>
      </c>
      <c r="AN135" s="2">
        <f>$K$5*($B$135-SUM($AF$135:AM135))</f>
        <v>0</v>
      </c>
      <c r="AO135" s="2">
        <f>$B$135-SUM($AF$135:AN135)</f>
        <v>0</v>
      </c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>
        <f t="shared" si="122"/>
        <v>0</v>
      </c>
      <c r="BC135" s="2"/>
      <c r="BD135" s="2"/>
    </row>
    <row r="136" spans="1:56" x14ac:dyDescent="0.25">
      <c r="A136">
        <f t="shared" si="123"/>
        <v>29</v>
      </c>
      <c r="B136" s="2">
        <f>AG30</f>
        <v>0</v>
      </c>
      <c r="C136" s="2"/>
      <c r="D136" s="2"/>
      <c r="E136" s="2"/>
      <c r="F136" s="2"/>
      <c r="G136" s="2"/>
      <c r="H136" s="2"/>
      <c r="I136" s="6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>
        <f>$K$5*$B$136</f>
        <v>0</v>
      </c>
      <c r="AH136" s="2">
        <f>$K$5*($B$136-SUM($AG$136:AG136))</f>
        <v>0</v>
      </c>
      <c r="AI136" s="2">
        <f>$K$5*($B$136-SUM($AG$136:AH136))</f>
        <v>0</v>
      </c>
      <c r="AJ136" s="2">
        <f>$K$5*($B$136-SUM($AG$136:AI136))</f>
        <v>0</v>
      </c>
      <c r="AK136" s="2">
        <f>$K$5*($B$136-SUM($AG$136:AJ136))</f>
        <v>0</v>
      </c>
      <c r="AL136" s="2">
        <f>$K$5*($B$136-SUM($AG$136:AK136))</f>
        <v>0</v>
      </c>
      <c r="AM136" s="2">
        <f>$K$5*($B$136-SUM($AG$136:AL136))</f>
        <v>0</v>
      </c>
      <c r="AN136" s="2">
        <f>$K$5*($B$136-SUM($AG$136:AM136))</f>
        <v>0</v>
      </c>
      <c r="AO136" s="2">
        <f>$K$5*($B$136-SUM($AG$136:AN136))</f>
        <v>0</v>
      </c>
      <c r="AP136" s="2">
        <f>$B$136-SUM($AG$136:AO136)</f>
        <v>0</v>
      </c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>
        <f t="shared" si="122"/>
        <v>0</v>
      </c>
      <c r="BC136" s="2"/>
      <c r="BD136" s="2"/>
    </row>
    <row r="137" spans="1:56" x14ac:dyDescent="0.25">
      <c r="A137">
        <f t="shared" si="123"/>
        <v>30</v>
      </c>
      <c r="B137" s="2">
        <f>AH30</f>
        <v>0</v>
      </c>
      <c r="C137" s="2"/>
      <c r="D137" s="2"/>
      <c r="E137" s="2"/>
      <c r="F137" s="2"/>
      <c r="G137" s="2"/>
      <c r="H137" s="2"/>
      <c r="I137" s="6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>
        <f>$K$5*$B$137</f>
        <v>0</v>
      </c>
      <c r="AI137" s="2">
        <f>$K$5*($B$137-SUM($AH$137:AH137))</f>
        <v>0</v>
      </c>
      <c r="AJ137" s="2">
        <f>$K$5*($B$137-SUM($AH$137:AI137))</f>
        <v>0</v>
      </c>
      <c r="AK137" s="2">
        <f>$K$5*($B$137-SUM($AH$137:AJ137))</f>
        <v>0</v>
      </c>
      <c r="AL137" s="2">
        <f>$K$5*($B$137-SUM($AH$137:AK137))</f>
        <v>0</v>
      </c>
      <c r="AM137" s="2">
        <f>$K$5*($B$137-SUM($AH$137:AL137))</f>
        <v>0</v>
      </c>
      <c r="AN137" s="2">
        <f>$K$5*($B$137-SUM($AH$137:AM137))</f>
        <v>0</v>
      </c>
      <c r="AO137" s="2">
        <f>$K$5*($B$137-SUM($AH$137:AN137))</f>
        <v>0</v>
      </c>
      <c r="AP137" s="2">
        <f>$K$5*($B$137-SUM($AH$137:AO137))</f>
        <v>0</v>
      </c>
      <c r="AQ137" s="2">
        <f>$B$137-SUM($AH$137:AP137)</f>
        <v>0</v>
      </c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>
        <f t="shared" si="122"/>
        <v>0</v>
      </c>
      <c r="BC137" s="2"/>
      <c r="BD137" s="2"/>
    </row>
    <row r="138" spans="1:56" x14ac:dyDescent="0.25">
      <c r="A138">
        <f t="shared" si="123"/>
        <v>31</v>
      </c>
      <c r="B138" s="2">
        <f>AI30</f>
        <v>0</v>
      </c>
      <c r="C138" s="2"/>
      <c r="D138" s="2"/>
      <c r="E138" s="2"/>
      <c r="F138" s="2"/>
      <c r="G138" s="2"/>
      <c r="H138" s="2"/>
      <c r="I138" s="6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>
        <f>$K$5*$B$138</f>
        <v>0</v>
      </c>
      <c r="AJ138" s="2">
        <f>$K$5*($B$138-SUM($AI$138:AI138))</f>
        <v>0</v>
      </c>
      <c r="AK138" s="2">
        <f>$K$5*($B$138-SUM($AI$138:AJ138))</f>
        <v>0</v>
      </c>
      <c r="AL138" s="2">
        <f>$K$5*($B$138-SUM($AI$138:AK138))</f>
        <v>0</v>
      </c>
      <c r="AM138" s="2">
        <f>$K$5*($B$138-SUM($AI$138:AL138))</f>
        <v>0</v>
      </c>
      <c r="AN138" s="2">
        <f>$K$5*($B$138-SUM($AI$138:AM138))</f>
        <v>0</v>
      </c>
      <c r="AO138" s="2">
        <f>$K$5*($B$138-SUM($AI$138:AN138))</f>
        <v>0</v>
      </c>
      <c r="AP138" s="2">
        <f>$K$5*($B$138-SUM($AI$138:AO138))</f>
        <v>0</v>
      </c>
      <c r="AQ138" s="2">
        <f>$K$5*($B$138-SUM($AI$138:AP138))</f>
        <v>0</v>
      </c>
      <c r="AR138" s="2">
        <f>$B$138-SUM($AI$138:AQ138)</f>
        <v>0</v>
      </c>
      <c r="AS138" s="2"/>
      <c r="AT138" s="2"/>
      <c r="AU138" s="2"/>
      <c r="AV138" s="2"/>
      <c r="AW138" s="2"/>
      <c r="AX138" s="2"/>
      <c r="AY138" s="2"/>
      <c r="AZ138" s="2"/>
      <c r="BA138" s="2"/>
      <c r="BB138" s="2">
        <f t="shared" ref="BB138:BB149" si="124">SUM(C138:AZ138)</f>
        <v>0</v>
      </c>
      <c r="BC138" s="2"/>
      <c r="BD138" s="2"/>
    </row>
    <row r="139" spans="1:56" x14ac:dyDescent="0.25">
      <c r="A139">
        <f t="shared" ref="A139:A145" si="125">A138+1</f>
        <v>32</v>
      </c>
      <c r="B139" s="2">
        <f>AJ30</f>
        <v>0</v>
      </c>
      <c r="C139" s="2"/>
      <c r="D139" s="2"/>
      <c r="E139" s="2"/>
      <c r="F139" s="2"/>
      <c r="G139" s="2"/>
      <c r="H139" s="2"/>
      <c r="I139" s="6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>
        <f>$K$5*$B$139</f>
        <v>0</v>
      </c>
      <c r="AK139" s="2">
        <f>$K$5*($B$139-SUM($AJ$139:AJ139))</f>
        <v>0</v>
      </c>
      <c r="AL139" s="2">
        <f>$K$5*($B$139-SUM($AJ$139:AK139))</f>
        <v>0</v>
      </c>
      <c r="AM139" s="2">
        <f>$K$5*($B$139-SUM($AJ$139:AL139))</f>
        <v>0</v>
      </c>
      <c r="AN139" s="2">
        <f>$K$5*($B$139-SUM($AJ$139:AM139))</f>
        <v>0</v>
      </c>
      <c r="AO139" s="2">
        <f>$K$5*($B$139-SUM($AJ$139:AN139))</f>
        <v>0</v>
      </c>
      <c r="AP139" s="2">
        <f>$K$5*($B$139-SUM($AJ$139:AO139))</f>
        <v>0</v>
      </c>
      <c r="AQ139" s="2">
        <f>$K$5*($B$139-SUM($AJ$139:AP139))</f>
        <v>0</v>
      </c>
      <c r="AR139" s="2">
        <f>$K$5*($B$139-SUM($AJ$139:AQ139))</f>
        <v>0</v>
      </c>
      <c r="AS139" s="2">
        <f>$B$139-SUM($AJ$139:AR139)</f>
        <v>0</v>
      </c>
      <c r="AT139" s="2"/>
      <c r="AU139" s="2"/>
      <c r="AV139" s="2"/>
      <c r="AW139" s="2"/>
      <c r="AX139" s="2"/>
      <c r="AY139" s="2"/>
      <c r="AZ139" s="2"/>
      <c r="BA139" s="2"/>
      <c r="BB139" s="2">
        <f t="shared" si="124"/>
        <v>0</v>
      </c>
      <c r="BC139" s="2"/>
      <c r="BD139" s="2"/>
    </row>
    <row r="140" spans="1:56" x14ac:dyDescent="0.25">
      <c r="A140">
        <f t="shared" si="125"/>
        <v>33</v>
      </c>
      <c r="B140" s="2">
        <f>AK30</f>
        <v>0</v>
      </c>
      <c r="C140" s="2"/>
      <c r="D140" s="2"/>
      <c r="E140" s="2"/>
      <c r="F140" s="2"/>
      <c r="G140" s="2"/>
      <c r="H140" s="2"/>
      <c r="I140" s="6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>
        <f>$K$5*$B$140</f>
        <v>0</v>
      </c>
      <c r="AL140" s="2">
        <f>$K$5*($B$140-SUM($AK$140:AK140))</f>
        <v>0</v>
      </c>
      <c r="AM140" s="2">
        <f>$K$5*($B$140-SUM($AK$140:AL140))</f>
        <v>0</v>
      </c>
      <c r="AN140" s="2">
        <f>$K$5*($B$140-SUM($AK$140:AM140))</f>
        <v>0</v>
      </c>
      <c r="AO140" s="2">
        <f>$K$5*($B$140-SUM($AK$140:AN140))</f>
        <v>0</v>
      </c>
      <c r="AP140" s="2">
        <f>$K$5*($B$140-SUM($AK$140:AO140))</f>
        <v>0</v>
      </c>
      <c r="AQ140" s="2">
        <f>$K$5*($B$140-SUM($AK$140:AP140))</f>
        <v>0</v>
      </c>
      <c r="AR140" s="2">
        <f>$K$5*($B$140-SUM($AK$140:AQ140))</f>
        <v>0</v>
      </c>
      <c r="AS140" s="2">
        <f>$K$5*($B$140-SUM($AK$140:AR140))</f>
        <v>0</v>
      </c>
      <c r="AT140" s="2">
        <f>$B$140-SUM($AK$140:AS140)</f>
        <v>0</v>
      </c>
      <c r="AU140" s="2"/>
      <c r="AV140" s="2"/>
      <c r="AW140" s="2"/>
      <c r="AX140" s="2"/>
      <c r="AY140" s="2"/>
      <c r="AZ140" s="2"/>
      <c r="BA140" s="2"/>
      <c r="BB140" s="2">
        <f t="shared" si="124"/>
        <v>0</v>
      </c>
      <c r="BC140" s="2"/>
      <c r="BD140" s="2"/>
    </row>
    <row r="141" spans="1:56" x14ac:dyDescent="0.25">
      <c r="A141">
        <f t="shared" si="125"/>
        <v>34</v>
      </c>
      <c r="B141" s="2">
        <f>AL30</f>
        <v>0</v>
      </c>
      <c r="C141" s="2"/>
      <c r="D141" s="2"/>
      <c r="E141" s="2"/>
      <c r="F141" s="2"/>
      <c r="G141" s="2"/>
      <c r="H141" s="2"/>
      <c r="I141" s="6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>
        <f>$K$5*$B$141</f>
        <v>0</v>
      </c>
      <c r="AM141" s="2">
        <f>$K$5*($B$141-SUM($AL$141:AL141))</f>
        <v>0</v>
      </c>
      <c r="AN141" s="2">
        <f>$K$5*($B$141-SUM($AL$141:AM141))</f>
        <v>0</v>
      </c>
      <c r="AO141" s="2">
        <f>$K$5*($B$141-SUM($AL$141:AN141))</f>
        <v>0</v>
      </c>
      <c r="AP141" s="2">
        <f>$K$5*($B$141-SUM($AL$141:AO141))</f>
        <v>0</v>
      </c>
      <c r="AQ141" s="2">
        <f>$K$5*($B$141-SUM($AL$141:AP141))</f>
        <v>0</v>
      </c>
      <c r="AR141" s="2">
        <f>$K$5*($B$141-SUM($AL$141:AQ141))</f>
        <v>0</v>
      </c>
      <c r="AS141" s="2">
        <f>$K$5*($B$141-SUM($AL$141:AR141))</f>
        <v>0</v>
      </c>
      <c r="AT141" s="2">
        <f>$K$5*($B$141-SUM($AL$141:AS141))</f>
        <v>0</v>
      </c>
      <c r="AU141" s="2">
        <f>$B$141-SUM($AL$141:AT141)</f>
        <v>0</v>
      </c>
      <c r="AV141" s="2"/>
      <c r="AW141" s="2"/>
      <c r="AX141" s="2"/>
      <c r="AY141" s="2"/>
      <c r="AZ141" s="2"/>
      <c r="BA141" s="2"/>
      <c r="BB141" s="2">
        <f t="shared" si="124"/>
        <v>0</v>
      </c>
      <c r="BC141" s="2"/>
      <c r="BD141" s="2"/>
    </row>
    <row r="142" spans="1:56" x14ac:dyDescent="0.25">
      <c r="A142">
        <f t="shared" si="125"/>
        <v>35</v>
      </c>
      <c r="B142" s="2">
        <f>AM30</f>
        <v>0</v>
      </c>
      <c r="C142" s="2"/>
      <c r="D142" s="2"/>
      <c r="E142" s="2"/>
      <c r="F142" s="2"/>
      <c r="G142" s="2"/>
      <c r="H142" s="2"/>
      <c r="I142" s="6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>
        <f>$K$5*$B$142</f>
        <v>0</v>
      </c>
      <c r="AN142" s="2">
        <f>$K$5*($B$142-SUM($AM$142:AM142))</f>
        <v>0</v>
      </c>
      <c r="AO142" s="2">
        <f>$K$5*($B$142-SUM($AM$142:AN142))</f>
        <v>0</v>
      </c>
      <c r="AP142" s="2">
        <f>$K$5*($B$142-SUM($AM$142:AO142))</f>
        <v>0</v>
      </c>
      <c r="AQ142" s="2">
        <f>$K$5*($B$142-SUM($AM$142:AP142))</f>
        <v>0</v>
      </c>
      <c r="AR142" s="2">
        <f>$K$5*($B$142-SUM($AM$142:AQ142))</f>
        <v>0</v>
      </c>
      <c r="AS142" s="2">
        <f>$K$5*($B$142-SUM($AM$142:AR142))</f>
        <v>0</v>
      </c>
      <c r="AT142" s="2">
        <f>$K$5*($B$142-SUM($AM$142:AS142))</f>
        <v>0</v>
      </c>
      <c r="AU142" s="2">
        <f>$K$5*($B$142-SUM($AM$142:AT142))</f>
        <v>0</v>
      </c>
      <c r="AV142" s="2">
        <f>$B$142-SUM($AM$142:AU142)</f>
        <v>0</v>
      </c>
      <c r="AW142" s="2"/>
      <c r="AX142" s="2"/>
      <c r="AY142" s="2"/>
      <c r="AZ142" s="2"/>
      <c r="BA142" s="2"/>
      <c r="BB142" s="2">
        <f t="shared" si="124"/>
        <v>0</v>
      </c>
      <c r="BC142" s="2"/>
      <c r="BD142" s="2"/>
    </row>
    <row r="143" spans="1:56" x14ac:dyDescent="0.25">
      <c r="A143">
        <f t="shared" si="125"/>
        <v>36</v>
      </c>
      <c r="B143" s="2">
        <f>AN30</f>
        <v>0</v>
      </c>
      <c r="C143" s="2"/>
      <c r="D143" s="2"/>
      <c r="E143" s="2"/>
      <c r="F143" s="2"/>
      <c r="G143" s="2"/>
      <c r="H143" s="2"/>
      <c r="I143" s="6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>
        <f>$K$5*$B$143</f>
        <v>0</v>
      </c>
      <c r="AO143" s="2">
        <f>$K$5*($B$143-SUM($AN$143:AN143))</f>
        <v>0</v>
      </c>
      <c r="AP143" s="2">
        <f>$K$5*($B$143-SUM($AN$143:AO143))</f>
        <v>0</v>
      </c>
      <c r="AQ143" s="2">
        <f>$K$5*($B$143-SUM($AN$143:AP143))</f>
        <v>0</v>
      </c>
      <c r="AR143" s="2">
        <f>$K$5*($B$143-SUM($AN$143:AQ143))</f>
        <v>0</v>
      </c>
      <c r="AS143" s="2">
        <f>$K$5*($B$143-SUM($AN$143:AR143))</f>
        <v>0</v>
      </c>
      <c r="AT143" s="2">
        <f>$K$5*($B$143-SUM($AN$143:AS143))</f>
        <v>0</v>
      </c>
      <c r="AU143" s="2">
        <f>$K$5*($B$143-SUM($AN$143:AT143))</f>
        <v>0</v>
      </c>
      <c r="AV143" s="2">
        <f>$K$5*($B$143-SUM($AN$143:AU143))</f>
        <v>0</v>
      </c>
      <c r="AW143" s="2">
        <f>$B$143-SUM($AN$143:AV143)</f>
        <v>0</v>
      </c>
      <c r="AX143" s="2"/>
      <c r="AY143" s="2"/>
      <c r="AZ143" s="2"/>
      <c r="BA143" s="2"/>
      <c r="BB143" s="2">
        <f t="shared" si="124"/>
        <v>0</v>
      </c>
      <c r="BC143" s="2"/>
      <c r="BD143" s="2"/>
    </row>
    <row r="144" spans="1:56" x14ac:dyDescent="0.25">
      <c r="A144">
        <f t="shared" si="125"/>
        <v>37</v>
      </c>
      <c r="B144" s="2">
        <f>AO30</f>
        <v>0</v>
      </c>
      <c r="C144" s="2"/>
      <c r="D144" s="2"/>
      <c r="E144" s="2"/>
      <c r="F144" s="2"/>
      <c r="G144" s="2"/>
      <c r="H144" s="2"/>
      <c r="I144" s="6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>
        <f>$K$5*$B$144</f>
        <v>0</v>
      </c>
      <c r="AP144" s="2">
        <f>$K$5*$B$144-SUM($AO$144:AO144)</f>
        <v>0</v>
      </c>
      <c r="AQ144" s="2">
        <f>$K$5*$B$144-SUM($AO$144:AP144)</f>
        <v>0</v>
      </c>
      <c r="AR144" s="2">
        <f>$K$5*$B$144-SUM($AO$144:AQ144)</f>
        <v>0</v>
      </c>
      <c r="AS144" s="2">
        <f>$K$5*$B$144-SUM($AO$144:AR144)</f>
        <v>0</v>
      </c>
      <c r="AT144" s="2">
        <f>$K$5*$B$144-SUM($AO$144:AS144)</f>
        <v>0</v>
      </c>
      <c r="AU144" s="2">
        <f>$K$5*$B$144-SUM($AO$144:AT144)</f>
        <v>0</v>
      </c>
      <c r="AV144" s="2">
        <f>$K$5*$B$144-SUM($AO$144:AU144)</f>
        <v>0</v>
      </c>
      <c r="AW144" s="2">
        <f>$K$5*$B$144-SUM($AO$144:AV144)</f>
        <v>0</v>
      </c>
      <c r="AX144" s="2">
        <f>$B$144-SUM($AO$144:AW144)</f>
        <v>0</v>
      </c>
      <c r="AY144" s="2"/>
      <c r="AZ144" s="2"/>
      <c r="BA144" s="2"/>
      <c r="BB144" s="2">
        <f t="shared" si="124"/>
        <v>0</v>
      </c>
      <c r="BC144" s="2"/>
      <c r="BD144" s="2"/>
    </row>
    <row r="145" spans="1:56" x14ac:dyDescent="0.25">
      <c r="A145">
        <f t="shared" si="125"/>
        <v>38</v>
      </c>
      <c r="B145" s="2">
        <f>AP30</f>
        <v>0</v>
      </c>
      <c r="C145" s="2"/>
      <c r="D145" s="2"/>
      <c r="E145" s="2"/>
      <c r="F145" s="2"/>
      <c r="G145" s="2"/>
      <c r="H145" s="2"/>
      <c r="I145" s="6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>
        <f>$K$5*$B$145</f>
        <v>0</v>
      </c>
      <c r="AQ145" s="2">
        <f>$K$5*($B$145-SUM($AP$145:AP145))</f>
        <v>0</v>
      </c>
      <c r="AR145" s="2">
        <f>$K$5*($B$145-SUM($AP$145:AQ145))</f>
        <v>0</v>
      </c>
      <c r="AS145" s="2">
        <f>$K$5*($B$145-SUM($AP$145:AR145))</f>
        <v>0</v>
      </c>
      <c r="AT145" s="2">
        <f>$K$5*($B$145-SUM($AP$145:AS145))</f>
        <v>0</v>
      </c>
      <c r="AU145" s="2">
        <f>$K$5*($B$145-SUM($AP$145:AT145))</f>
        <v>0</v>
      </c>
      <c r="AV145" s="2">
        <f>$K$5*($B$145-SUM($AP$145:AU145))</f>
        <v>0</v>
      </c>
      <c r="AW145" s="2">
        <f>$K$5*($B$145-SUM($AP$145:AV145))</f>
        <v>0</v>
      </c>
      <c r="AX145" s="2">
        <f>$K$5*($B$145-SUM($AP$145:AW145))</f>
        <v>0</v>
      </c>
      <c r="AY145" s="2">
        <f>$B$145-SUM($AP$145:AX145)</f>
        <v>0</v>
      </c>
      <c r="AZ145" s="2"/>
      <c r="BA145" s="2"/>
      <c r="BB145" s="2">
        <f t="shared" si="124"/>
        <v>0</v>
      </c>
      <c r="BC145" s="2"/>
      <c r="BD145" s="2"/>
    </row>
    <row r="146" spans="1:56" x14ac:dyDescent="0.25">
      <c r="A146">
        <v>42</v>
      </c>
      <c r="B146" s="2">
        <f>AQ30</f>
        <v>0</v>
      </c>
      <c r="C146" s="2"/>
      <c r="D146" s="2"/>
      <c r="E146" s="2"/>
      <c r="F146" s="2"/>
      <c r="G146" s="2"/>
      <c r="H146" s="2"/>
      <c r="I146" s="6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>
        <f>$K$5*$B$146</f>
        <v>0</v>
      </c>
      <c r="AR146" s="2">
        <f>$K$5*($B$146-SUM($AQ$146:AQ146))</f>
        <v>0</v>
      </c>
      <c r="AS146" s="2">
        <f>$K$5*($B$146-SUM($AQ$146:AR146))</f>
        <v>0</v>
      </c>
      <c r="AT146" s="2">
        <f>$K$5*($B$146-SUM($AQ$146:AS146))</f>
        <v>0</v>
      </c>
      <c r="AU146" s="2">
        <f>$K$5*($B$146-SUM($AQ$146:AT146))</f>
        <v>0</v>
      </c>
      <c r="AV146" s="2">
        <f>$K$5*($B$146-SUM($AQ$146:AU146))</f>
        <v>0</v>
      </c>
      <c r="AW146" s="2">
        <f>$K$5*($B$146-SUM($AQ$146:AV146))</f>
        <v>0</v>
      </c>
      <c r="AX146" s="2">
        <f>$K$5*($B$146-SUM($AQ$146:AW146))</f>
        <v>0</v>
      </c>
      <c r="AY146" s="2">
        <f>$K$5*($B$146-SUM($AQ$146:AX146))</f>
        <v>0</v>
      </c>
      <c r="AZ146" s="2">
        <f>$B$146-SUM($AQ$146:AY146)</f>
        <v>0</v>
      </c>
      <c r="BA146" s="2"/>
      <c r="BB146" s="2">
        <f t="shared" si="124"/>
        <v>0</v>
      </c>
      <c r="BC146" s="2"/>
      <c r="BD146" s="2"/>
    </row>
    <row r="147" spans="1:56" x14ac:dyDescent="0.25">
      <c r="A147" t="s">
        <v>85</v>
      </c>
      <c r="B147" s="2"/>
      <c r="C147" s="2"/>
      <c r="D147" s="2"/>
      <c r="E147" s="2"/>
      <c r="F147" s="2"/>
      <c r="G147" s="2"/>
      <c r="H147" s="2"/>
      <c r="I147" s="6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>
        <f t="shared" si="124"/>
        <v>0</v>
      </c>
      <c r="BC147" s="2"/>
      <c r="BD147" s="2"/>
    </row>
    <row r="148" spans="1:56" x14ac:dyDescent="0.25">
      <c r="A148" t="s">
        <v>85</v>
      </c>
      <c r="B148" s="2"/>
      <c r="C148" s="2"/>
      <c r="D148" s="2"/>
      <c r="E148" s="2"/>
      <c r="F148" s="2"/>
      <c r="G148" s="2"/>
      <c r="H148" s="2"/>
      <c r="I148" s="6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>
        <f t="shared" si="124"/>
        <v>0</v>
      </c>
      <c r="BC148" s="2"/>
      <c r="BD148" s="2"/>
    </row>
    <row r="149" spans="1:56" x14ac:dyDescent="0.25">
      <c r="A149" t="s">
        <v>85</v>
      </c>
      <c r="B149" s="2"/>
      <c r="C149" s="2"/>
      <c r="D149" s="2"/>
      <c r="E149" s="2"/>
      <c r="F149" s="2"/>
      <c r="G149" s="2"/>
      <c r="H149" s="2"/>
      <c r="I149" s="6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>
        <f t="shared" si="124"/>
        <v>0</v>
      </c>
      <c r="BC149" s="2"/>
      <c r="BD149" s="2"/>
    </row>
    <row r="150" spans="1:56" x14ac:dyDescent="0.25">
      <c r="A150" t="s">
        <v>92</v>
      </c>
      <c r="B150" s="2">
        <v>0</v>
      </c>
      <c r="C150" s="2">
        <f>SUM(C105:C146)</f>
        <v>0</v>
      </c>
      <c r="D150" s="2">
        <f t="shared" ref="D150:S150" si="126">SUM(D105:D146)</f>
        <v>0</v>
      </c>
      <c r="E150" s="2">
        <f t="shared" si="126"/>
        <v>0</v>
      </c>
      <c r="F150" s="2">
        <f t="shared" si="126"/>
        <v>0</v>
      </c>
      <c r="G150" s="2">
        <f t="shared" si="126"/>
        <v>0</v>
      </c>
      <c r="H150" s="2">
        <f t="shared" si="126"/>
        <v>0</v>
      </c>
      <c r="I150" s="63">
        <f t="shared" si="126"/>
        <v>9597.1428571428569</v>
      </c>
      <c r="J150" s="2">
        <f t="shared" si="126"/>
        <v>6855.1020408163267</v>
      </c>
      <c r="K150" s="2">
        <f t="shared" si="126"/>
        <v>4896.5014577259471</v>
      </c>
      <c r="L150" s="2">
        <f t="shared" si="126"/>
        <v>3497.5010412328202</v>
      </c>
      <c r="M150" s="2">
        <f t="shared" si="126"/>
        <v>2498.2150294520147</v>
      </c>
      <c r="N150" s="2">
        <f t="shared" si="126"/>
        <v>1784.4393067514393</v>
      </c>
      <c r="O150" s="2">
        <f t="shared" si="126"/>
        <v>1274.5995048224565</v>
      </c>
      <c r="P150" s="2">
        <f t="shared" si="126"/>
        <v>910.42821773032585</v>
      </c>
      <c r="Q150" s="2">
        <f t="shared" si="126"/>
        <v>650.30586980737587</v>
      </c>
      <c r="R150" s="2">
        <f t="shared" si="126"/>
        <v>1625.7646745184393</v>
      </c>
      <c r="S150" s="2">
        <f t="shared" si="126"/>
        <v>0</v>
      </c>
      <c r="T150" s="2">
        <f t="shared" ref="T150:AI150" si="127">SUM(T105:T146)</f>
        <v>0</v>
      </c>
      <c r="U150" s="2">
        <f t="shared" si="127"/>
        <v>0</v>
      </c>
      <c r="V150" s="2">
        <f t="shared" si="127"/>
        <v>0</v>
      </c>
      <c r="W150" s="2">
        <f t="shared" si="127"/>
        <v>0</v>
      </c>
      <c r="X150" s="2">
        <f t="shared" si="127"/>
        <v>0</v>
      </c>
      <c r="Y150" s="2">
        <f t="shared" si="127"/>
        <v>0</v>
      </c>
      <c r="Z150" s="2">
        <f t="shared" si="127"/>
        <v>0</v>
      </c>
      <c r="AA150" s="2">
        <f t="shared" si="127"/>
        <v>0</v>
      </c>
      <c r="AB150" s="2">
        <f t="shared" si="127"/>
        <v>0</v>
      </c>
      <c r="AC150" s="2">
        <f t="shared" si="127"/>
        <v>0</v>
      </c>
      <c r="AD150" s="2">
        <f t="shared" si="127"/>
        <v>0</v>
      </c>
      <c r="AE150" s="2">
        <f t="shared" si="127"/>
        <v>0</v>
      </c>
      <c r="AF150" s="2">
        <f t="shared" si="127"/>
        <v>0</v>
      </c>
      <c r="AG150" s="2">
        <f t="shared" si="127"/>
        <v>0</v>
      </c>
      <c r="AH150" s="2">
        <f t="shared" si="127"/>
        <v>0</v>
      </c>
      <c r="AI150" s="2">
        <f t="shared" si="127"/>
        <v>0</v>
      </c>
      <c r="AJ150" s="2">
        <f t="shared" ref="AJ150:AY150" si="128">SUM(AJ105:AJ146)</f>
        <v>0</v>
      </c>
      <c r="AK150" s="2">
        <f t="shared" si="128"/>
        <v>0</v>
      </c>
      <c r="AL150" s="2">
        <f t="shared" si="128"/>
        <v>0</v>
      </c>
      <c r="AM150" s="2">
        <f t="shared" si="128"/>
        <v>0</v>
      </c>
      <c r="AN150" s="2">
        <f t="shared" si="128"/>
        <v>0</v>
      </c>
      <c r="AO150" s="2">
        <f t="shared" si="128"/>
        <v>0</v>
      </c>
      <c r="AP150" s="2">
        <f t="shared" si="128"/>
        <v>0</v>
      </c>
      <c r="AQ150" s="2">
        <f t="shared" si="128"/>
        <v>0</v>
      </c>
      <c r="AR150" s="2">
        <f t="shared" si="128"/>
        <v>0</v>
      </c>
      <c r="AS150" s="2">
        <f t="shared" si="128"/>
        <v>0</v>
      </c>
      <c r="AT150" s="2">
        <f t="shared" si="128"/>
        <v>0</v>
      </c>
      <c r="AU150" s="2">
        <f t="shared" si="128"/>
        <v>0</v>
      </c>
      <c r="AV150" s="2">
        <f t="shared" si="128"/>
        <v>0</v>
      </c>
      <c r="AW150" s="2">
        <f t="shared" si="128"/>
        <v>0</v>
      </c>
      <c r="AX150" s="2">
        <f t="shared" si="128"/>
        <v>0</v>
      </c>
      <c r="AY150" s="2">
        <f t="shared" si="128"/>
        <v>0</v>
      </c>
      <c r="AZ150" s="2">
        <f>SUM(AZ105:AZ146)</f>
        <v>0</v>
      </c>
      <c r="BA150" s="2"/>
      <c r="BB150" s="2">
        <f>SUM(BB105:BB146)</f>
        <v>33590</v>
      </c>
      <c r="BC150" s="2"/>
      <c r="BD150" s="2"/>
    </row>
    <row r="151" spans="1:56" x14ac:dyDescent="0.25">
      <c r="A151" t="s">
        <v>85</v>
      </c>
    </row>
    <row r="152" spans="1:56" x14ac:dyDescent="0.25">
      <c r="A152" t="s">
        <v>85</v>
      </c>
    </row>
    <row r="153" spans="1:56" x14ac:dyDescent="0.25">
      <c r="A153" t="s">
        <v>85</v>
      </c>
    </row>
    <row r="154" spans="1:56" x14ac:dyDescent="0.25">
      <c r="A154" t="s">
        <v>85</v>
      </c>
    </row>
    <row r="155" spans="1:56" x14ac:dyDescent="0.25">
      <c r="A155" t="s">
        <v>85</v>
      </c>
    </row>
    <row r="156" spans="1:56" x14ac:dyDescent="0.25">
      <c r="A156" t="s">
        <v>85</v>
      </c>
    </row>
    <row r="157" spans="1:56" x14ac:dyDescent="0.25">
      <c r="A157" t="s">
        <v>85</v>
      </c>
    </row>
    <row r="184" spans="3:41" x14ac:dyDescent="0.25">
      <c r="C184" t="s">
        <v>80</v>
      </c>
      <c r="E184">
        <f t="shared" ref="E184:AO184" si="129">E6</f>
        <v>1</v>
      </c>
      <c r="F184">
        <f t="shared" si="129"/>
        <v>2</v>
      </c>
      <c r="G184">
        <f t="shared" si="129"/>
        <v>3</v>
      </c>
      <c r="H184">
        <f t="shared" si="129"/>
        <v>4</v>
      </c>
      <c r="I184" s="59">
        <f t="shared" si="129"/>
        <v>5</v>
      </c>
      <c r="J184">
        <f t="shared" si="129"/>
        <v>6</v>
      </c>
      <c r="K184">
        <f t="shared" si="129"/>
        <v>7</v>
      </c>
      <c r="L184">
        <f t="shared" si="129"/>
        <v>8</v>
      </c>
      <c r="M184">
        <f t="shared" si="129"/>
        <v>9</v>
      </c>
      <c r="N184">
        <f t="shared" si="129"/>
        <v>10</v>
      </c>
      <c r="O184">
        <f t="shared" si="129"/>
        <v>11</v>
      </c>
      <c r="P184">
        <f t="shared" si="129"/>
        <v>12</v>
      </c>
      <c r="Q184">
        <f t="shared" si="129"/>
        <v>13</v>
      </c>
      <c r="R184">
        <f t="shared" si="129"/>
        <v>14</v>
      </c>
      <c r="S184">
        <f t="shared" si="129"/>
        <v>15</v>
      </c>
      <c r="T184">
        <f t="shared" si="129"/>
        <v>16</v>
      </c>
      <c r="U184">
        <f t="shared" si="129"/>
        <v>17</v>
      </c>
      <c r="V184">
        <f t="shared" si="129"/>
        <v>18</v>
      </c>
      <c r="W184">
        <f t="shared" si="129"/>
        <v>19</v>
      </c>
      <c r="X184">
        <f t="shared" si="129"/>
        <v>20</v>
      </c>
      <c r="Y184">
        <f t="shared" si="129"/>
        <v>21</v>
      </c>
      <c r="Z184">
        <f t="shared" si="129"/>
        <v>22</v>
      </c>
      <c r="AA184">
        <f t="shared" si="129"/>
        <v>23</v>
      </c>
      <c r="AB184">
        <f t="shared" si="129"/>
        <v>24</v>
      </c>
      <c r="AC184">
        <f t="shared" si="129"/>
        <v>25</v>
      </c>
      <c r="AD184">
        <f t="shared" si="129"/>
        <v>26</v>
      </c>
      <c r="AE184">
        <f t="shared" si="129"/>
        <v>27</v>
      </c>
      <c r="AF184">
        <f t="shared" si="129"/>
        <v>28</v>
      </c>
      <c r="AG184">
        <f t="shared" si="129"/>
        <v>29</v>
      </c>
      <c r="AH184">
        <f t="shared" si="129"/>
        <v>30</v>
      </c>
      <c r="AI184">
        <f t="shared" si="129"/>
        <v>31</v>
      </c>
      <c r="AJ184">
        <f t="shared" si="129"/>
        <v>32</v>
      </c>
      <c r="AK184">
        <f t="shared" si="129"/>
        <v>33</v>
      </c>
      <c r="AL184">
        <f t="shared" si="129"/>
        <v>34</v>
      </c>
      <c r="AM184">
        <f t="shared" si="129"/>
        <v>35</v>
      </c>
      <c r="AN184">
        <f t="shared" si="129"/>
        <v>36</v>
      </c>
      <c r="AO184">
        <f t="shared" si="129"/>
        <v>37</v>
      </c>
    </row>
    <row r="185" spans="3:41" x14ac:dyDescent="0.25">
      <c r="C185" t="s">
        <v>93</v>
      </c>
      <c r="E185" s="2">
        <f t="shared" ref="E185:AO185" si="130">E68</f>
        <v>-1475</v>
      </c>
      <c r="F185" s="2">
        <f t="shared" si="130"/>
        <v>-3230</v>
      </c>
      <c r="G185" s="2">
        <f t="shared" si="130"/>
        <v>-6000</v>
      </c>
      <c r="H185" s="2">
        <f t="shared" si="130"/>
        <v>-19724.999999999996</v>
      </c>
      <c r="I185" s="63">
        <f t="shared" si="130"/>
        <v>-33929.918828946153</v>
      </c>
      <c r="J185" s="2">
        <f t="shared" si="130"/>
        <v>-31391.591116334952</v>
      </c>
      <c r="K185" s="2">
        <f t="shared" si="130"/>
        <v>-28853.263403723751</v>
      </c>
      <c r="L185" s="2">
        <f t="shared" si="130"/>
        <v>-26314.935691112551</v>
      </c>
      <c r="M185" s="2">
        <f t="shared" si="130"/>
        <v>-23776.60797850135</v>
      </c>
      <c r="N185" s="2">
        <f t="shared" si="130"/>
        <v>-21238.280265890149</v>
      </c>
      <c r="O185" s="2">
        <f t="shared" si="130"/>
        <v>-18699.952553278948</v>
      </c>
      <c r="P185" s="2">
        <f t="shared" si="130"/>
        <v>-16161.624840667746</v>
      </c>
      <c r="Q185" s="2">
        <f t="shared" si="130"/>
        <v>-13623.297128056543</v>
      </c>
      <c r="R185" s="2">
        <f t="shared" si="130"/>
        <v>-11084.969415445341</v>
      </c>
      <c r="S185" s="2">
        <f t="shared" si="130"/>
        <v>-4050.9906073082784</v>
      </c>
      <c r="T185" s="2">
        <f t="shared" si="130"/>
        <v>2460.4665110719598</v>
      </c>
      <c r="U185" s="2">
        <f t="shared" si="130"/>
        <v>8508.9236948423841</v>
      </c>
      <c r="V185" s="2">
        <f t="shared" si="130"/>
        <v>14557.380878612808</v>
      </c>
      <c r="W185" s="2">
        <f t="shared" si="130"/>
        <v>20605.838062383235</v>
      </c>
      <c r="X185" s="2">
        <f t="shared" si="130"/>
        <v>26654.295246153659</v>
      </c>
      <c r="Y185" s="2">
        <f t="shared" si="130"/>
        <v>32702.752429924083</v>
      </c>
      <c r="Z185" s="2">
        <f t="shared" si="130"/>
        <v>38751.209613694504</v>
      </c>
      <c r="AA185" s="2">
        <f t="shared" si="130"/>
        <v>44799.666797464932</v>
      </c>
      <c r="AB185" s="2">
        <f t="shared" si="130"/>
        <v>50848.12398123536</v>
      </c>
      <c r="AC185" s="2">
        <f t="shared" si="130"/>
        <v>56896.581165005788</v>
      </c>
      <c r="AD185" s="2">
        <f t="shared" si="130"/>
        <v>62945.038348776216</v>
      </c>
      <c r="AE185" s="2">
        <f t="shared" si="130"/>
        <v>68993.495532546644</v>
      </c>
      <c r="AF185" s="2">
        <f t="shared" si="130"/>
        <v>75041.952716317071</v>
      </c>
      <c r="AG185" s="2">
        <f t="shared" si="130"/>
        <v>81090.409900087499</v>
      </c>
      <c r="AH185" s="2">
        <f t="shared" si="130"/>
        <v>87138.867083857927</v>
      </c>
      <c r="AI185" s="2">
        <f t="shared" si="130"/>
        <v>93187.324267628355</v>
      </c>
      <c r="AJ185" s="2">
        <f t="shared" si="130"/>
        <v>99235.781451398783</v>
      </c>
      <c r="AK185" s="2">
        <f t="shared" si="130"/>
        <v>105284.23863516921</v>
      </c>
      <c r="AL185" s="2">
        <f t="shared" si="130"/>
        <v>111332.69581893964</v>
      </c>
      <c r="AM185" s="2">
        <f t="shared" si="130"/>
        <v>117381.15300271007</v>
      </c>
      <c r="AN185" s="2">
        <f t="shared" si="130"/>
        <v>0</v>
      </c>
      <c r="AO185" s="2">
        <f t="shared" si="130"/>
        <v>-1971.0000000000002</v>
      </c>
    </row>
    <row r="186" spans="3:41" x14ac:dyDescent="0.25">
      <c r="C186" t="s">
        <v>80</v>
      </c>
      <c r="E186">
        <f t="shared" ref="E186:AO186" si="131">E6</f>
        <v>1</v>
      </c>
      <c r="F186">
        <f t="shared" si="131"/>
        <v>2</v>
      </c>
      <c r="G186">
        <f t="shared" si="131"/>
        <v>3</v>
      </c>
      <c r="H186">
        <f t="shared" si="131"/>
        <v>4</v>
      </c>
      <c r="I186" s="59">
        <f t="shared" si="131"/>
        <v>5</v>
      </c>
      <c r="J186">
        <f t="shared" si="131"/>
        <v>6</v>
      </c>
      <c r="K186">
        <f t="shared" si="131"/>
        <v>7</v>
      </c>
      <c r="L186">
        <f t="shared" si="131"/>
        <v>8</v>
      </c>
      <c r="M186">
        <f t="shared" si="131"/>
        <v>9</v>
      </c>
      <c r="N186">
        <f t="shared" si="131"/>
        <v>10</v>
      </c>
      <c r="O186">
        <f t="shared" si="131"/>
        <v>11</v>
      </c>
      <c r="P186">
        <f t="shared" si="131"/>
        <v>12</v>
      </c>
      <c r="Q186">
        <f t="shared" si="131"/>
        <v>13</v>
      </c>
      <c r="R186">
        <f t="shared" si="131"/>
        <v>14</v>
      </c>
      <c r="S186">
        <f t="shared" si="131"/>
        <v>15</v>
      </c>
      <c r="T186">
        <f t="shared" si="131"/>
        <v>16</v>
      </c>
      <c r="U186">
        <f t="shared" si="131"/>
        <v>17</v>
      </c>
      <c r="V186">
        <f t="shared" si="131"/>
        <v>18</v>
      </c>
      <c r="W186">
        <f t="shared" si="131"/>
        <v>19</v>
      </c>
      <c r="X186">
        <f t="shared" si="131"/>
        <v>20</v>
      </c>
      <c r="Y186">
        <f t="shared" si="131"/>
        <v>21</v>
      </c>
      <c r="Z186">
        <f t="shared" si="131"/>
        <v>22</v>
      </c>
      <c r="AA186">
        <f t="shared" si="131"/>
        <v>23</v>
      </c>
      <c r="AB186">
        <f t="shared" si="131"/>
        <v>24</v>
      </c>
      <c r="AC186">
        <f t="shared" si="131"/>
        <v>25</v>
      </c>
      <c r="AD186">
        <f t="shared" si="131"/>
        <v>26</v>
      </c>
      <c r="AE186">
        <f t="shared" si="131"/>
        <v>27</v>
      </c>
      <c r="AF186">
        <f t="shared" si="131"/>
        <v>28</v>
      </c>
      <c r="AG186">
        <f t="shared" si="131"/>
        <v>29</v>
      </c>
      <c r="AH186">
        <f t="shared" si="131"/>
        <v>30</v>
      </c>
      <c r="AI186">
        <f t="shared" si="131"/>
        <v>31</v>
      </c>
      <c r="AJ186">
        <f t="shared" si="131"/>
        <v>32</v>
      </c>
      <c r="AK186">
        <f t="shared" si="131"/>
        <v>33</v>
      </c>
      <c r="AL186">
        <f t="shared" si="131"/>
        <v>34</v>
      </c>
      <c r="AM186">
        <f t="shared" si="131"/>
        <v>35</v>
      </c>
      <c r="AN186">
        <f t="shared" si="131"/>
        <v>36</v>
      </c>
      <c r="AO186">
        <f t="shared" si="131"/>
        <v>37</v>
      </c>
    </row>
    <row r="187" spans="3:41" x14ac:dyDescent="0.25">
      <c r="C187" t="s">
        <v>64</v>
      </c>
      <c r="E187" s="2">
        <f t="shared" ref="E187:AO187" si="132">E17</f>
        <v>0</v>
      </c>
      <c r="F187" s="2">
        <f t="shared" si="132"/>
        <v>0</v>
      </c>
      <c r="G187" s="2">
        <f t="shared" si="132"/>
        <v>0</v>
      </c>
      <c r="H187" s="2">
        <f t="shared" si="132"/>
        <v>0</v>
      </c>
      <c r="I187" s="63">
        <f t="shared" si="132"/>
        <v>2783.8322665797064</v>
      </c>
      <c r="J187" s="2">
        <f t="shared" si="132"/>
        <v>11135.329066318825</v>
      </c>
      <c r="K187" s="2">
        <f t="shared" si="132"/>
        <v>11135.329066318825</v>
      </c>
      <c r="L187" s="2">
        <f t="shared" si="132"/>
        <v>11135.329066318825</v>
      </c>
      <c r="M187" s="2">
        <f t="shared" si="132"/>
        <v>11135.329066318825</v>
      </c>
      <c r="N187" s="2">
        <f t="shared" si="132"/>
        <v>11135.329066318825</v>
      </c>
      <c r="O187" s="2">
        <f t="shared" si="132"/>
        <v>11135.329066318825</v>
      </c>
      <c r="P187" s="2">
        <f t="shared" si="132"/>
        <v>11135.329066318825</v>
      </c>
      <c r="Q187" s="2">
        <f t="shared" si="132"/>
        <v>11135.329066318825</v>
      </c>
      <c r="R187" s="2">
        <f t="shared" si="132"/>
        <v>11135.329066318825</v>
      </c>
      <c r="S187" s="2">
        <f t="shared" si="132"/>
        <v>11135.329066318825</v>
      </c>
      <c r="T187" s="2">
        <f t="shared" si="132"/>
        <v>11135.329066318825</v>
      </c>
      <c r="U187" s="2">
        <f t="shared" si="132"/>
        <v>11135.329066318825</v>
      </c>
      <c r="V187" s="2">
        <f t="shared" si="132"/>
        <v>11135.329066318825</v>
      </c>
      <c r="W187" s="2">
        <f t="shared" si="132"/>
        <v>11135.329066318825</v>
      </c>
      <c r="X187" s="2">
        <f t="shared" si="132"/>
        <v>11135.329066318825</v>
      </c>
      <c r="Y187" s="2">
        <f t="shared" si="132"/>
        <v>11135.329066318825</v>
      </c>
      <c r="Z187" s="2">
        <f t="shared" si="132"/>
        <v>11135.329066318825</v>
      </c>
      <c r="AA187" s="2">
        <f t="shared" si="132"/>
        <v>11135.329066318825</v>
      </c>
      <c r="AB187" s="2">
        <f t="shared" si="132"/>
        <v>11135.329066318825</v>
      </c>
      <c r="AC187" s="2">
        <f t="shared" si="132"/>
        <v>11135.329066318825</v>
      </c>
      <c r="AD187" s="2">
        <f t="shared" si="132"/>
        <v>11135.329066318825</v>
      </c>
      <c r="AE187" s="2">
        <f t="shared" si="132"/>
        <v>11135.329066318825</v>
      </c>
      <c r="AF187" s="2">
        <f t="shared" si="132"/>
        <v>11135.329066318825</v>
      </c>
      <c r="AG187" s="2">
        <f t="shared" si="132"/>
        <v>11135.329066318825</v>
      </c>
      <c r="AH187" s="2">
        <f t="shared" si="132"/>
        <v>11135.329066318825</v>
      </c>
      <c r="AI187" s="2">
        <f t="shared" si="132"/>
        <v>11135.329066318825</v>
      </c>
      <c r="AJ187" s="2">
        <f t="shared" si="132"/>
        <v>11135.329066318825</v>
      </c>
      <c r="AK187" s="2">
        <f t="shared" si="132"/>
        <v>11135.329066318825</v>
      </c>
      <c r="AL187" s="2">
        <f t="shared" si="132"/>
        <v>11135.329066318825</v>
      </c>
      <c r="AM187" s="2">
        <f t="shared" si="132"/>
        <v>11135.329066318825</v>
      </c>
      <c r="AN187" s="2">
        <f t="shared" si="132"/>
        <v>0</v>
      </c>
      <c r="AO187" s="2">
        <f t="shared" si="132"/>
        <v>0</v>
      </c>
    </row>
    <row r="188" spans="3:41" x14ac:dyDescent="0.25">
      <c r="C188" t="s">
        <v>94</v>
      </c>
      <c r="E188" s="2">
        <f t="shared" ref="E188:AO188" si="133">E64</f>
        <v>0</v>
      </c>
      <c r="F188" s="2">
        <f t="shared" si="133"/>
        <v>0</v>
      </c>
      <c r="G188" s="2">
        <f t="shared" si="133"/>
        <v>0</v>
      </c>
      <c r="H188" s="2">
        <f t="shared" si="133"/>
        <v>0</v>
      </c>
      <c r="I188" s="63">
        <f t="shared" si="133"/>
        <v>0</v>
      </c>
      <c r="J188" s="2">
        <f t="shared" si="133"/>
        <v>0</v>
      </c>
      <c r="K188" s="2">
        <f t="shared" si="133"/>
        <v>0</v>
      </c>
      <c r="L188" s="2">
        <f t="shared" si="133"/>
        <v>0</v>
      </c>
      <c r="M188" s="2">
        <f t="shared" si="133"/>
        <v>0</v>
      </c>
      <c r="N188" s="2">
        <f t="shared" si="133"/>
        <v>0</v>
      </c>
      <c r="O188" s="2">
        <f t="shared" si="133"/>
        <v>0</v>
      </c>
      <c r="P188" s="2">
        <f t="shared" si="133"/>
        <v>0</v>
      </c>
      <c r="Q188" s="2">
        <f t="shared" si="133"/>
        <v>0</v>
      </c>
      <c r="R188" s="2">
        <f t="shared" si="133"/>
        <v>0</v>
      </c>
      <c r="S188" s="2">
        <f t="shared" si="133"/>
        <v>0</v>
      </c>
      <c r="T188" s="2">
        <f t="shared" si="133"/>
        <v>2652.8719479385873</v>
      </c>
      <c r="U188" s="2">
        <f t="shared" si="133"/>
        <v>3115.8718825484007</v>
      </c>
      <c r="V188" s="2">
        <f t="shared" si="133"/>
        <v>3115.8718825484007</v>
      </c>
      <c r="W188" s="2">
        <f t="shared" si="133"/>
        <v>3115.8718825484007</v>
      </c>
      <c r="X188" s="2">
        <f t="shared" si="133"/>
        <v>3115.8718825484007</v>
      </c>
      <c r="Y188" s="2">
        <f t="shared" si="133"/>
        <v>3115.8718825484007</v>
      </c>
      <c r="Z188" s="2">
        <f t="shared" si="133"/>
        <v>3115.8718825484007</v>
      </c>
      <c r="AA188" s="2">
        <f t="shared" si="133"/>
        <v>3115.8718825484007</v>
      </c>
      <c r="AB188" s="2">
        <f t="shared" si="133"/>
        <v>3115.8718825484007</v>
      </c>
      <c r="AC188" s="2">
        <f t="shared" si="133"/>
        <v>3115.8718825484007</v>
      </c>
      <c r="AD188" s="2">
        <f t="shared" si="133"/>
        <v>3115.8718825484007</v>
      </c>
      <c r="AE188" s="2">
        <f t="shared" si="133"/>
        <v>3115.8718825484007</v>
      </c>
      <c r="AF188" s="2">
        <f t="shared" si="133"/>
        <v>3115.8718825484007</v>
      </c>
      <c r="AG188" s="2">
        <f t="shared" si="133"/>
        <v>3115.8718825484007</v>
      </c>
      <c r="AH188" s="2">
        <f t="shared" si="133"/>
        <v>3115.8718825484007</v>
      </c>
      <c r="AI188" s="2">
        <f t="shared" si="133"/>
        <v>3115.8718825484007</v>
      </c>
      <c r="AJ188" s="2">
        <f t="shared" si="133"/>
        <v>3115.8718825484007</v>
      </c>
      <c r="AK188" s="2">
        <f t="shared" si="133"/>
        <v>3115.8718825484007</v>
      </c>
      <c r="AL188" s="2">
        <f t="shared" si="133"/>
        <v>3115.8718825484007</v>
      </c>
      <c r="AM188" s="2">
        <f t="shared" si="133"/>
        <v>3115.8718825484007</v>
      </c>
      <c r="AN188" s="2">
        <f t="shared" si="133"/>
        <v>0</v>
      </c>
      <c r="AO188" s="2">
        <f t="shared" si="133"/>
        <v>0</v>
      </c>
    </row>
    <row r="189" spans="3:41" x14ac:dyDescent="0.25">
      <c r="C189" t="s">
        <v>95</v>
      </c>
      <c r="E189" s="2">
        <f t="shared" ref="E189:AO189" si="134">E66</f>
        <v>0</v>
      </c>
      <c r="F189" s="2">
        <f t="shared" si="134"/>
        <v>0</v>
      </c>
      <c r="G189" s="2">
        <f t="shared" si="134"/>
        <v>0</v>
      </c>
      <c r="H189" s="2">
        <f t="shared" si="134"/>
        <v>0</v>
      </c>
      <c r="I189" s="63">
        <f t="shared" si="134"/>
        <v>0</v>
      </c>
      <c r="J189" s="2">
        <f t="shared" si="134"/>
        <v>0</v>
      </c>
      <c r="K189" s="2">
        <f t="shared" si="134"/>
        <v>0</v>
      </c>
      <c r="L189" s="2">
        <f t="shared" si="134"/>
        <v>0</v>
      </c>
      <c r="M189" s="2">
        <f t="shared" si="134"/>
        <v>0</v>
      </c>
      <c r="N189" s="2">
        <f t="shared" si="134"/>
        <v>0</v>
      </c>
      <c r="O189" s="2">
        <f t="shared" si="134"/>
        <v>0</v>
      </c>
      <c r="P189" s="2">
        <f t="shared" si="134"/>
        <v>0</v>
      </c>
      <c r="Q189" s="2">
        <f t="shared" si="134"/>
        <v>0</v>
      </c>
      <c r="R189" s="2">
        <f t="shared" si="134"/>
        <v>0</v>
      </c>
      <c r="S189" s="2">
        <f t="shared" si="134"/>
        <v>0</v>
      </c>
      <c r="T189" s="2">
        <f t="shared" si="134"/>
        <v>0</v>
      </c>
      <c r="U189" s="2">
        <f t="shared" si="134"/>
        <v>0</v>
      </c>
      <c r="V189" s="2">
        <f t="shared" si="134"/>
        <v>0</v>
      </c>
      <c r="W189" s="2">
        <f t="shared" si="134"/>
        <v>0</v>
      </c>
      <c r="X189" s="2">
        <f t="shared" si="134"/>
        <v>0</v>
      </c>
      <c r="Y189" s="2">
        <f t="shared" si="134"/>
        <v>0</v>
      </c>
      <c r="Z189" s="2">
        <f t="shared" si="134"/>
        <v>0</v>
      </c>
      <c r="AA189" s="2">
        <f t="shared" si="134"/>
        <v>0</v>
      </c>
      <c r="AB189" s="2">
        <f t="shared" si="134"/>
        <v>0</v>
      </c>
      <c r="AC189" s="2">
        <f t="shared" si="134"/>
        <v>0</v>
      </c>
      <c r="AD189" s="2">
        <f t="shared" si="134"/>
        <v>0</v>
      </c>
      <c r="AE189" s="2">
        <f t="shared" si="134"/>
        <v>0</v>
      </c>
      <c r="AF189" s="2">
        <f t="shared" si="134"/>
        <v>0</v>
      </c>
      <c r="AG189" s="2">
        <f t="shared" si="134"/>
        <v>0</v>
      </c>
      <c r="AH189" s="2">
        <f t="shared" si="134"/>
        <v>0</v>
      </c>
      <c r="AI189" s="2">
        <f t="shared" si="134"/>
        <v>0</v>
      </c>
      <c r="AJ189" s="2">
        <f t="shared" si="134"/>
        <v>0</v>
      </c>
      <c r="AK189" s="2">
        <f t="shared" si="134"/>
        <v>0</v>
      </c>
      <c r="AL189" s="2">
        <f t="shared" si="134"/>
        <v>0</v>
      </c>
      <c r="AM189" s="2">
        <f t="shared" si="134"/>
        <v>0</v>
      </c>
      <c r="AN189" s="2">
        <f t="shared" si="134"/>
        <v>0</v>
      </c>
      <c r="AO189" s="2">
        <f t="shared" si="134"/>
        <v>0</v>
      </c>
    </row>
    <row r="190" spans="3:41" x14ac:dyDescent="0.25">
      <c r="C190" t="s">
        <v>96</v>
      </c>
      <c r="E190" s="2">
        <f t="shared" ref="E190:AO190" si="135">E67</f>
        <v>-1475</v>
      </c>
      <c r="F190" s="2">
        <f t="shared" si="135"/>
        <v>-1755</v>
      </c>
      <c r="G190" s="2">
        <f t="shared" si="135"/>
        <v>-2770</v>
      </c>
      <c r="H190" s="2">
        <f t="shared" si="135"/>
        <v>-13724.999999999996</v>
      </c>
      <c r="I190" s="63">
        <f t="shared" si="135"/>
        <v>-14204.918828946156</v>
      </c>
      <c r="J190" s="2">
        <f t="shared" si="135"/>
        <v>2538.3277126112025</v>
      </c>
      <c r="K190" s="2">
        <f t="shared" si="135"/>
        <v>2538.3277126112025</v>
      </c>
      <c r="L190" s="2">
        <f t="shared" si="135"/>
        <v>2538.3277126112025</v>
      </c>
      <c r="M190" s="2">
        <f t="shared" si="135"/>
        <v>2538.3277126112025</v>
      </c>
      <c r="N190" s="2">
        <f t="shared" si="135"/>
        <v>2538.3277126112025</v>
      </c>
      <c r="O190" s="2">
        <f t="shared" si="135"/>
        <v>2538.3277126112025</v>
      </c>
      <c r="P190" s="2">
        <f t="shared" si="135"/>
        <v>2538.3277126112025</v>
      </c>
      <c r="Q190" s="2">
        <f t="shared" si="135"/>
        <v>2538.3277126112025</v>
      </c>
      <c r="R190" s="2">
        <f t="shared" si="135"/>
        <v>2538.3277126112025</v>
      </c>
      <c r="S190" s="2">
        <f t="shared" si="135"/>
        <v>7033.9788081370625</v>
      </c>
      <c r="T190" s="2">
        <f t="shared" si="135"/>
        <v>6511.4571183802382</v>
      </c>
      <c r="U190" s="2">
        <f t="shared" si="135"/>
        <v>6048.4571837704243</v>
      </c>
      <c r="V190" s="2">
        <f t="shared" si="135"/>
        <v>6048.4571837704243</v>
      </c>
      <c r="W190" s="2">
        <f t="shared" si="135"/>
        <v>6048.4571837704243</v>
      </c>
      <c r="X190" s="2">
        <f t="shared" si="135"/>
        <v>6048.4571837704243</v>
      </c>
      <c r="Y190" s="2">
        <f t="shared" si="135"/>
        <v>6048.4571837704243</v>
      </c>
      <c r="Z190" s="2">
        <f t="shared" si="135"/>
        <v>6048.4571837704243</v>
      </c>
      <c r="AA190" s="2">
        <f t="shared" si="135"/>
        <v>6048.4571837704243</v>
      </c>
      <c r="AB190" s="2">
        <f t="shared" si="135"/>
        <v>6048.4571837704243</v>
      </c>
      <c r="AC190" s="2">
        <f t="shared" si="135"/>
        <v>6048.4571837704243</v>
      </c>
      <c r="AD190" s="2">
        <f t="shared" si="135"/>
        <v>6048.4571837704243</v>
      </c>
      <c r="AE190" s="2">
        <f t="shared" si="135"/>
        <v>6048.4571837704243</v>
      </c>
      <c r="AF190" s="2">
        <f t="shared" si="135"/>
        <v>6048.4571837704243</v>
      </c>
      <c r="AG190" s="2">
        <f t="shared" si="135"/>
        <v>6048.4571837704243</v>
      </c>
      <c r="AH190" s="2">
        <f t="shared" si="135"/>
        <v>6048.4571837704243</v>
      </c>
      <c r="AI190" s="2">
        <f t="shared" si="135"/>
        <v>6048.4571837704243</v>
      </c>
      <c r="AJ190" s="2">
        <f t="shared" si="135"/>
        <v>6048.4571837704243</v>
      </c>
      <c r="AK190" s="2">
        <f t="shared" si="135"/>
        <v>6048.4571837704252</v>
      </c>
      <c r="AL190" s="2">
        <f t="shared" si="135"/>
        <v>6048.4571837704252</v>
      </c>
      <c r="AM190" s="2">
        <f t="shared" si="135"/>
        <v>6048.4571837704252</v>
      </c>
      <c r="AN190" s="2">
        <f t="shared" si="135"/>
        <v>-1971.0000000000002</v>
      </c>
      <c r="AO190" s="2">
        <f t="shared" si="135"/>
        <v>-1971.0000000000002</v>
      </c>
    </row>
  </sheetData>
  <scenarios current="0" sqref="B5 G5 G3">
    <scenario name="Sedang" locked="1" count="1" user="Ali Ashat" comment="Created by Ali Ashat on 6/4/2024">
      <inputCells r="G1" val="0.85" numFmtId="9"/>
    </scenario>
    <scenario name="Rendah" locked="1" count="1" user="Ali Ashat" comment="Created by Ali Ashat on 6/4/2024">
      <inputCells r="G1" val="0.8" numFmtId="9"/>
    </scenario>
    <scenario name="Tinggi" locked="1" count="1" user="Ali Ashat" comment="Created by Ali Ashat on 6/4/2024">
      <inputCells r="G1" val="0.9" numFmtId="9"/>
    </scenario>
  </scenarios>
  <phoneticPr fontId="3" type="noConversion"/>
  <pageMargins left="0.57999999999999996" right="0.59" top="0.56000000000000005" bottom="0.37" header="0.21" footer="0.21"/>
  <pageSetup paperSize="9" scale="50" fitToWidth="0" fitToHeight="0" orientation="landscape" horizontalDpi="300" verticalDpi="30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Geocon</vt:lpstr>
      <vt:lpstr>Geocon!Print_Area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GEOTHERMAL ECONOMICS</dc:title>
  <dc:creator>Ali Ashat</dc:creator>
  <cp:lastModifiedBy>MUHAMMAD HAMMAM REZA</cp:lastModifiedBy>
  <cp:lastPrinted>1998-11-05T04:48:46Z</cp:lastPrinted>
  <dcterms:created xsi:type="dcterms:W3CDTF">1998-11-05T04:57:13Z</dcterms:created>
  <dcterms:modified xsi:type="dcterms:W3CDTF">2024-12-06T02:44:46Z</dcterms:modified>
</cp:coreProperties>
</file>