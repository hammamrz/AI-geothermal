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donesiapower-my.sharepoint.com/personal/muhammad_hammam_indonesiapower_co_id/Documents/01 Indonesia Power/03 Materi Training-Diklat-Webinar/Training Geothermal Nov-Des 2024/D4/"/>
    </mc:Choice>
  </mc:AlternateContent>
  <xr:revisionPtr revIDLastSave="227" documentId="13_ncr:1_{2859062E-BAAC-473F-83B5-D56615B57552}" xr6:coauthVersionLast="47" xr6:coauthVersionMax="47" xr10:uidLastSave="{A9EA09EA-FDDA-4E3C-B585-33BB6ABAFEE6}"/>
  <bookViews>
    <workbookView xWindow="-108" yWindow="-108" windowWidth="23256" windowHeight="13896" activeTab="4" xr2:uid="{00000000-000D-0000-FFFF-FFFF00000000}"/>
  </bookViews>
  <sheets>
    <sheet name="Info" sheetId="1" r:id="rId1"/>
    <sheet name="Usage" sheetId="2" r:id="rId2"/>
    <sheet name="Reference" sheetId="3" r:id="rId3"/>
    <sheet name="Latihan" sheetId="15" r:id="rId4"/>
    <sheet name="Reserve" sheetId="16" r:id="rId5"/>
    <sheet name="waterprop" sheetId="4" state="veryHidden" r:id=""/>
  </sheets>
  <functionGroups builtInGroupCount="19"/>
  <externalReferences>
    <externalReference r:id="rId6"/>
  </externalReferences>
  <definedNames>
    <definedName name="Chromium_Ir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6" l="1"/>
  <c r="B16" i="16" s="1"/>
  <c r="C10" i="16"/>
  <c r="B10" i="16"/>
  <c r="C9" i="16"/>
  <c r="B9" i="16"/>
  <c r="B59" i="15"/>
  <c r="B51" i="15"/>
  <c r="F130" i="3"/>
  <c r="F80" i="3"/>
  <c r="F114" i="3"/>
  <c r="F97" i="3"/>
  <c r="F31" i="3"/>
  <c r="F17" i="3"/>
  <c r="F64" i="3"/>
  <c r="F146" i="3"/>
  <c r="F47" i="3"/>
  <c r="B58" i="15" a="1"/>
  <c r="B57" i="15" a="1"/>
  <c r="D57" i="15" a="1"/>
  <c r="D55" i="15" a="1"/>
  <c r="B52" i="15" a="1"/>
  <c r="B50" i="15" a="1"/>
  <c r="D49" i="15" a="1"/>
  <c r="D47" i="15" a="1"/>
  <c r="B44" i="15" a="1"/>
  <c r="B43" i="15" a="1"/>
  <c r="D42" i="15" a="1"/>
  <c r="D40" i="15" a="1"/>
  <c r="B37" i="15" a="1"/>
  <c r="D35" i="15" a="1"/>
  <c r="B36" i="15" a="1"/>
  <c r="D33" i="15" a="1"/>
  <c r="D27" i="15" a="1"/>
  <c r="C28" i="15" a="1"/>
  <c r="C29" i="15" a="1"/>
  <c r="C30" i="15" a="1"/>
  <c r="C27" i="15" a="1"/>
  <c r="B28" i="15" a="1"/>
  <c r="B29" i="15" a="1"/>
  <c r="B30" i="15" a="1"/>
  <c r="B27" i="15" a="1"/>
  <c r="D21" i="15" a="1"/>
  <c r="D16" i="15" a="1"/>
  <c r="B13" i="15" a="1"/>
  <c r="B12" i="15" a="1"/>
  <c r="B11" i="15" a="1"/>
  <c r="B10" i="15" a="1"/>
  <c r="B4" i="15" a="1"/>
  <c r="B6" i="15" a="1"/>
  <c r="B5" i="15" a="1"/>
  <c r="B3" i="15" a="1"/>
  <c r="B11" i="16" a="1"/>
  <c r="B11" i="16" l="1"/>
  <c r="B58" i="15"/>
  <c r="B57" i="15"/>
  <c r="D57" i="15"/>
  <c r="D55" i="15"/>
  <c r="B52" i="15"/>
  <c r="B50" i="15"/>
  <c r="D49" i="15"/>
  <c r="D47" i="15"/>
  <c r="B44" i="15"/>
  <c r="B43" i="15"/>
  <c r="D40" i="15"/>
  <c r="D42" i="15"/>
  <c r="B37" i="15"/>
  <c r="D35" i="15"/>
  <c r="B36" i="15"/>
  <c r="D33" i="15"/>
  <c r="D27" i="15"/>
  <c r="C30" i="15"/>
  <c r="C29" i="15"/>
  <c r="C28" i="15"/>
  <c r="C27" i="15"/>
  <c r="B30" i="15"/>
  <c r="B29" i="15"/>
  <c r="B28" i="15"/>
  <c r="B27" i="15"/>
  <c r="D21" i="15"/>
  <c r="D16" i="15"/>
  <c r="B11" i="15"/>
  <c r="B12" i="15"/>
  <c r="B13" i="15"/>
  <c r="B10" i="15"/>
  <c r="B5" i="15"/>
  <c r="B6" i="15"/>
  <c r="B4" i="15"/>
  <c r="B3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<sst xmlns="http://schemas.openxmlformats.org/spreadsheetml/2006/main" count="295" uniqueCount="163">
  <si>
    <t>Properties of Water and Steam</t>
  </si>
  <si>
    <t xml:space="preserve">Authored by </t>
  </si>
  <si>
    <t>Bernhard Spang, The Mining Company</t>
  </si>
  <si>
    <t xml:space="preserve">URL: </t>
  </si>
  <si>
    <t>http://chemengineer.miningco.com</t>
  </si>
  <si>
    <t>email:</t>
  </si>
  <si>
    <t>chemengineer.guide@miningco.com</t>
  </si>
  <si>
    <t>Copyright 1997 by Bernhard Spang. All rights reserved.</t>
  </si>
  <si>
    <t xml:space="preserve">May be redistributed for free, but may not be changed or sold without the author's explicit permission.  </t>
  </si>
  <si>
    <t xml:space="preserve">Provided "as is" without warranty of any kind. </t>
  </si>
  <si>
    <t>This workbook contains Visual Basic functions for calculating properties of water and steam.</t>
  </si>
  <si>
    <t>Functions for the following properties are available:</t>
  </si>
  <si>
    <t xml:space="preserve">boiling point as a function of pressure, vapor pressure, specific volume or density, specific enthalpy, </t>
  </si>
  <si>
    <t>heat capacity, viscosity, and thermal conductivity.</t>
  </si>
  <si>
    <r>
      <t xml:space="preserve">See </t>
    </r>
    <r>
      <rPr>
        <b/>
        <sz val="10"/>
        <color indexed="10"/>
        <rFont val="Arial"/>
        <family val="2"/>
      </rPr>
      <t>Usage</t>
    </r>
    <r>
      <rPr>
        <sz val="10"/>
        <rFont val="Arial"/>
        <family val="2"/>
      </rPr>
      <t xml:space="preserve"> for an explanation of how to access the functions from within your spreadsheets.</t>
    </r>
  </si>
  <si>
    <r>
      <t xml:space="preserve">See </t>
    </r>
    <r>
      <rPr>
        <b/>
        <sz val="10"/>
        <color indexed="10"/>
        <rFont val="Arial"/>
        <family val="2"/>
      </rPr>
      <t>Reference</t>
    </r>
    <r>
      <rPr>
        <sz val="10"/>
        <rFont val="Arial"/>
        <family val="2"/>
      </rPr>
      <t xml:space="preserve"> for a list of available functions with syntax, arguments, units, and examples of use.</t>
    </r>
  </si>
  <si>
    <t>Note that the explanations given in this workbook relate to the use of the functions with source module sheet waterprop.</t>
  </si>
  <si>
    <t>For an explanation of how to use the functions with the Add-In file water.xla see the Readme file which accompanies water.xla.</t>
  </si>
  <si>
    <t>Source of equations:</t>
  </si>
  <si>
    <t xml:space="preserve">Properties of Water and Steam in SI-Units, </t>
  </si>
  <si>
    <t>2nd Revised and Updated Printing, Springer 1979, pp. 175 ff.</t>
  </si>
  <si>
    <t>Usage</t>
  </si>
  <si>
    <t>Property data are available by calling the appropriate property function using the syntax</t>
  </si>
  <si>
    <r>
      <t>=water.xls!waterprop</t>
    </r>
    <r>
      <rPr>
        <b/>
        <i/>
        <sz val="10"/>
        <color indexed="12"/>
        <rFont val="Arial"/>
        <family val="2"/>
      </rPr>
      <t>.functionname</t>
    </r>
    <r>
      <rPr>
        <b/>
        <sz val="10"/>
        <color indexed="12"/>
        <rFont val="Arial"/>
        <family val="2"/>
      </rPr>
      <t>(</t>
    </r>
    <r>
      <rPr>
        <b/>
        <i/>
        <sz val="10"/>
        <color indexed="12"/>
        <rFont val="Arial"/>
        <family val="2"/>
      </rPr>
      <t>parameterlist</t>
    </r>
    <r>
      <rPr>
        <b/>
        <sz val="10"/>
        <color indexed="12"/>
        <rFont val="Arial"/>
        <family val="2"/>
      </rPr>
      <t>)</t>
    </r>
  </si>
  <si>
    <t>where</t>
  </si>
  <si>
    <r>
      <t>functionname</t>
    </r>
    <r>
      <rPr>
        <sz val="10"/>
        <rFont val="Arial"/>
        <family val="2"/>
      </rPr>
      <t xml:space="preserve"> is the name of the function (see Reference)</t>
    </r>
  </si>
  <si>
    <t>and</t>
  </si>
  <si>
    <r>
      <t>parameterlist</t>
    </r>
    <r>
      <rPr>
        <sz val="10"/>
        <rFont val="Arial"/>
        <family val="2"/>
      </rPr>
      <t xml:space="preserve"> is the list of arguments for this function</t>
    </r>
  </si>
  <si>
    <r>
      <t xml:space="preserve">If the Visual Basic module </t>
    </r>
    <r>
      <rPr>
        <b/>
        <sz val="10"/>
        <color indexed="12"/>
        <rFont val="Arial"/>
        <family val="2"/>
      </rPr>
      <t>waterprop</t>
    </r>
    <r>
      <rPr>
        <sz val="10"/>
        <rFont val="Arial"/>
        <family val="2"/>
      </rPr>
      <t xml:space="preserve"> is copied from </t>
    </r>
    <r>
      <rPr>
        <b/>
        <sz val="10"/>
        <color indexed="12"/>
        <rFont val="Arial"/>
        <family val="2"/>
      </rPr>
      <t>water.xls</t>
    </r>
    <r>
      <rPr>
        <sz val="10"/>
        <rFont val="Arial"/>
        <family val="2"/>
      </rPr>
      <t xml:space="preserve"> to the Excel workbook </t>
    </r>
  </si>
  <si>
    <t>where property data are needed the simplified syntax is</t>
  </si>
  <si>
    <r>
      <t>=waterprop</t>
    </r>
    <r>
      <rPr>
        <b/>
        <i/>
        <sz val="10"/>
        <color indexed="12"/>
        <rFont val="Arial"/>
        <family val="2"/>
      </rPr>
      <t>.functionname</t>
    </r>
    <r>
      <rPr>
        <b/>
        <sz val="10"/>
        <color indexed="12"/>
        <rFont val="Arial"/>
        <family val="2"/>
      </rPr>
      <t>(</t>
    </r>
    <r>
      <rPr>
        <b/>
        <i/>
        <sz val="10"/>
        <color indexed="12"/>
        <rFont val="Arial"/>
        <family val="2"/>
      </rPr>
      <t>parameterlist</t>
    </r>
    <r>
      <rPr>
        <b/>
        <sz val="10"/>
        <color indexed="12"/>
        <rFont val="Arial"/>
        <family val="2"/>
      </rPr>
      <t>)</t>
    </r>
  </si>
  <si>
    <t>Reference</t>
  </si>
  <si>
    <t>Available functions:</t>
  </si>
  <si>
    <t>1. Boiling point as a function of pressure</t>
  </si>
  <si>
    <t>a) Usage:</t>
  </si>
  <si>
    <t>waterprop.BOILP(P)</t>
  </si>
  <si>
    <t>b) Argument(s):</t>
  </si>
  <si>
    <t>P</t>
  </si>
  <si>
    <t>pressure in bar</t>
  </si>
  <si>
    <t xml:space="preserve">c) Unit: </t>
  </si>
  <si>
    <t>boiling point in K</t>
  </si>
  <si>
    <t>d) Range of validity:</t>
  </si>
  <si>
    <t>0.01 bar &lt; p &lt; 220 bar</t>
  </si>
  <si>
    <t>e) Example:</t>
  </si>
  <si>
    <t>Boiling point of water at 1 bar in °C</t>
  </si>
  <si>
    <t xml:space="preserve">Formula in worksheet cell: </t>
  </si>
  <si>
    <t>=waterprop.BOILP(1)-273.15</t>
  </si>
  <si>
    <t>And the result is:</t>
  </si>
  <si>
    <t>°C</t>
  </si>
  <si>
    <t>2. Vapor pressure</t>
  </si>
  <si>
    <t>waterprop.VAPP(T)</t>
  </si>
  <si>
    <t>T</t>
  </si>
  <si>
    <t>temperature in K</t>
  </si>
  <si>
    <t>vapor pressure in bar</t>
  </si>
  <si>
    <t>273.16 K &lt; T &lt; 623 K</t>
  </si>
  <si>
    <t>Vapor pressure of water at 100 °C</t>
  </si>
  <si>
    <t>=waterprop.VAPP(373.15)</t>
  </si>
  <si>
    <t>bar</t>
  </si>
  <si>
    <t>3. Specific volume (or density) of liquid water</t>
  </si>
  <si>
    <t>waterprop.VSUB1(T; P)</t>
  </si>
  <si>
    <t xml:space="preserve">T </t>
  </si>
  <si>
    <r>
      <t>specific volume in 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/kg</t>
    </r>
  </si>
  <si>
    <t>273.16 K &lt; T &lt; 623.15 K</t>
  </si>
  <si>
    <t>vapor pressure &lt; p &lt; 1000 bar</t>
  </si>
  <si>
    <t>Density of water at 20 °C and 1 bar</t>
  </si>
  <si>
    <t>=1/waterprop.VSUB1(293.15; 1)</t>
  </si>
  <si>
    <r>
      <t>kg/m</t>
    </r>
    <r>
      <rPr>
        <vertAlign val="superscript"/>
        <sz val="10"/>
        <rFont val="Arial"/>
        <family val="2"/>
      </rPr>
      <t>3</t>
    </r>
  </si>
  <si>
    <t>4. Specific volume (or density) of steam</t>
  </si>
  <si>
    <t>waterprop.VSUB2(T; P)</t>
  </si>
  <si>
    <t xml:space="preserve">273.16 K &lt; T &lt; 1073.15 K </t>
  </si>
  <si>
    <t>0 &lt; p &lt; vapor pressure</t>
  </si>
  <si>
    <t>Specific volume of saturated vapor at 5 bar</t>
  </si>
  <si>
    <t>Note the use of BOILP for determining the boiling point</t>
  </si>
  <si>
    <t>=waterprop.VSUB2(waterprop.BOILP(5);5)</t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</si>
  <si>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/kg</t>
    </r>
  </si>
  <si>
    <t>5. Specific enthalpy of liquid water</t>
  </si>
  <si>
    <t>waterprop.HSUB1(T; P)</t>
  </si>
  <si>
    <t>specific enthalpy in kJ/kg</t>
  </si>
  <si>
    <t>Enthalpy of water at 20 °C and 1 bar</t>
  </si>
  <si>
    <t xml:space="preserve"> =waterprop.HSUB1(293.15; 1)</t>
  </si>
  <si>
    <t>kJ/kg</t>
  </si>
  <si>
    <t>6. Specific enthalpy of steam</t>
  </si>
  <si>
    <t>waterprop.HSUB2(T; P)</t>
  </si>
  <si>
    <t>Enthalpy of saturated vapor at 5 bar</t>
  </si>
  <si>
    <t>=waterprop.HSUB2(waterprop.BOILP(5);5)</t>
  </si>
  <si>
    <t>7. Heat capacity</t>
  </si>
  <si>
    <t>waterprop.HCAP(T; P; IAG)</t>
  </si>
  <si>
    <t>IAG</t>
  </si>
  <si>
    <t>state: 1 for liquid water, 2 for steam</t>
  </si>
  <si>
    <t>heat capacity in kJ/(kg K)</t>
  </si>
  <si>
    <t>0 &lt; p &lt; 1000 bar</t>
  </si>
  <si>
    <t>Heat capacity of water at 20 °C and 1 bar</t>
  </si>
  <si>
    <t xml:space="preserve"> =waterprop.HCAP(293.15;1;1)</t>
  </si>
  <si>
    <t>kJ/(kg K)</t>
  </si>
  <si>
    <t>8. Dynamic viscosity</t>
  </si>
  <si>
    <t>waterprop.ETAF(T; V)</t>
  </si>
  <si>
    <t>V</t>
  </si>
  <si>
    <t>specific volume in m3/kg</t>
  </si>
  <si>
    <r>
      <t>dynamic viscosity in 10</t>
    </r>
    <r>
      <rPr>
        <vertAlign val="superscript"/>
        <sz val="10"/>
        <rFont val="Arial"/>
        <family val="2"/>
      </rPr>
      <t>-6</t>
    </r>
    <r>
      <rPr>
        <sz val="10"/>
        <rFont val="Arial"/>
        <family val="2"/>
      </rPr>
      <t xml:space="preserve"> Pa s</t>
    </r>
  </si>
  <si>
    <t>0 °C &lt; T &lt; 800 °C</t>
  </si>
  <si>
    <t>p &lt; 1000 bar</t>
  </si>
  <si>
    <t>Viscosity of water at 20 °C and 1 bar</t>
  </si>
  <si>
    <t xml:space="preserve"> =waterprop.ETAF(293.15; waterprop.VSUB1(293.15;1))</t>
  </si>
  <si>
    <t>Pa s</t>
  </si>
  <si>
    <t>9. Thermal conductivity</t>
  </si>
  <si>
    <t>waterprop.TCON(T; V)</t>
  </si>
  <si>
    <t>thermal conductivity W /(K m)</t>
  </si>
  <si>
    <t>0 °C &lt; T &lt; 1500 °C</t>
  </si>
  <si>
    <t>p &lt; 3000 bar</t>
  </si>
  <si>
    <t>Thermal conductivity of saturated vapor at 5 bar</t>
  </si>
  <si>
    <t xml:space="preserve"> =waterprop.TCON(BOILP(5); waterprop.VSUB2(BOILP(5);5))</t>
  </si>
  <si>
    <t>W/(K m)</t>
  </si>
  <si>
    <t>No 1</t>
  </si>
  <si>
    <t>Psat</t>
  </si>
  <si>
    <t>No 2</t>
  </si>
  <si>
    <t>Tsat</t>
  </si>
  <si>
    <t>P (bar a)</t>
  </si>
  <si>
    <t>No 3</t>
  </si>
  <si>
    <t>Tsat (deg-C)</t>
  </si>
  <si>
    <t>T (deg-C)</t>
  </si>
  <si>
    <t>Fasa</t>
  </si>
  <si>
    <t>P sistem &gt; P saturasi</t>
  </si>
  <si>
    <t>COMPRESSED WATER</t>
  </si>
  <si>
    <t>No 4</t>
  </si>
  <si>
    <t>2 FASA</t>
  </si>
  <si>
    <t>P sistem = P saturasi</t>
  </si>
  <si>
    <t>No 5</t>
  </si>
  <si>
    <t>uf=hf-pv</t>
  </si>
  <si>
    <t>No 6</t>
  </si>
  <si>
    <t>T sistem &lt; T saturasi</t>
  </si>
  <si>
    <t>hf</t>
  </si>
  <si>
    <t>hf (kJ/kg)</t>
  </si>
  <si>
    <t>No 7</t>
  </si>
  <si>
    <t>SUPERHEAT</t>
  </si>
  <si>
    <t>P saturasi &gt; P sistem</t>
  </si>
  <si>
    <t>No 8</t>
  </si>
  <si>
    <t>s</t>
  </si>
  <si>
    <t>sf</t>
  </si>
  <si>
    <t>No 9</t>
  </si>
  <si>
    <t>sfg</t>
  </si>
  <si>
    <t>sg</t>
  </si>
  <si>
    <t>s superheat</t>
  </si>
  <si>
    <t>Area</t>
  </si>
  <si>
    <t>Thickness</t>
  </si>
  <si>
    <t>Porositas</t>
  </si>
  <si>
    <t>rock heat capacity</t>
  </si>
  <si>
    <t>sq-km</t>
  </si>
  <si>
    <t>m</t>
  </si>
  <si>
    <t>kJ/(kg.deg-C)</t>
  </si>
  <si>
    <t>densitas batuan</t>
  </si>
  <si>
    <t>kg/cu-m</t>
  </si>
  <si>
    <t>Ti</t>
  </si>
  <si>
    <t>Tf</t>
  </si>
  <si>
    <t>Saturasi Air</t>
  </si>
  <si>
    <t>Saturasi Uap</t>
  </si>
  <si>
    <t>E. Batuan</t>
  </si>
  <si>
    <t>kJ</t>
  </si>
  <si>
    <t>E. Air</t>
  </si>
  <si>
    <t>E. Uap</t>
  </si>
  <si>
    <t>E. Total</t>
  </si>
  <si>
    <t>Av. Energy</t>
  </si>
  <si>
    <t>Recovery Factor</t>
  </si>
  <si>
    <t>Recoverable 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</si>
</sst>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"/>
    <numFmt numFmtId="165" formatCode="0.0"/>
    <numFmt numFmtId="166" formatCode="0.0000"/>
    <numFmt numFmtId="167" formatCode="0.000E+00"/>
    <numFmt numFmtId="169" formatCode="_(* #,##0_);_(* \(#,##0\);_(* &quot;-&quot;??_);_(@_)"/>
  </numFmts>
  <fonts count="12" x14ac:knownFonts="1">
    <font>
      <sz val="10"/>
      <name val="Arial"/>
    </font>
    <font>
      <b/>
      <sz val="14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12"/>
      <name val="Arial"/>
      <family val="2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2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wrapText="1"/>
    </xf>
    <xf numFmtId="0" fontId="6" fillId="0" borderId="0" xfId="0" applyFont="1"/>
    <xf numFmtId="49" fontId="3" fillId="0" borderId="0" xfId="0" applyNumberFormat="1" applyFont="1"/>
    <xf numFmtId="0" fontId="7" fillId="0" borderId="0" xfId="0" applyFont="1"/>
    <xf numFmtId="2" fontId="8" fillId="0" borderId="0" xfId="0" applyNumberFormat="1" applyFont="1"/>
    <xf numFmtId="164" fontId="8" fillId="0" borderId="0" xfId="0" applyNumberFormat="1" applyFont="1"/>
    <xf numFmtId="165" fontId="8" fillId="0" borderId="0" xfId="0" applyNumberFormat="1" applyFont="1"/>
    <xf numFmtId="166" fontId="8" fillId="0" borderId="0" xfId="0" applyNumberFormat="1" applyFont="1"/>
    <xf numFmtId="167" fontId="8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  <xf numFmtId="0" fontId="9" fillId="2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4" fillId="0" borderId="0" xfId="0" applyFont="1" applyAlignment="1">
      <alignment horizontal="centerContinuous" wrapText="1"/>
    </xf>
    <xf numFmtId="0" fontId="2" fillId="0" borderId="0" xfId="0" applyFont="1" applyAlignment="1">
      <alignment horizontal="centerContinuous" wrapText="1"/>
    </xf>
    <xf numFmtId="0" fontId="1" fillId="2" borderId="0" xfId="0" applyFont="1" applyFill="1" applyAlignment="1">
      <alignment horizontal="centerContinuous"/>
    </xf>
    <xf numFmtId="49" fontId="3" fillId="0" borderId="0" xfId="0" applyNumberFormat="1" applyFont="1" applyAlignment="1">
      <alignment horizontal="centerContinuous"/>
    </xf>
    <xf numFmtId="0" fontId="10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/>
    </xf>
    <xf numFmtId="169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enny%20Saptadji/Application%20Data/Microsoft/AddIns/Steamprog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Usage"/>
      <sheetName val="Reference"/>
      <sheetName val="waterprop"/>
      <sheetName val="Steamprog"/>
    </sheetNames>
    <definedNames>
      <definedName name="BOILP"/>
      <definedName name="waterprop.BOILP"/>
      <definedName name="waterprop.ETAF"/>
      <definedName name="waterprop.HCAP"/>
      <definedName name="waterprop.HSUB1"/>
      <definedName name="waterprop.HSUB2"/>
      <definedName name="waterprop.TCON"/>
      <definedName name="waterprop.VAPP"/>
      <definedName name="waterprop.VSUB1"/>
      <definedName name="waterprop.VSUB2"/>
    </defined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showGridLines="0" zoomScale="160" zoomScaleNormal="160" workbookViewId="0">
      <selection activeCell="H19" sqref="H19"/>
    </sheetView>
  </sheetViews>
  <sheetFormatPr defaultColWidth="11.44140625" defaultRowHeight="13.2" x14ac:dyDescent="0.25"/>
  <sheetData>
    <row r="1" spans="1:7" ht="17.399999999999999" x14ac:dyDescent="0.3">
      <c r="A1" s="20" t="s">
        <v>0</v>
      </c>
      <c r="B1" s="17"/>
      <c r="C1" s="17"/>
      <c r="D1" s="17"/>
      <c r="E1" s="17"/>
      <c r="F1" s="17"/>
      <c r="G1" s="17"/>
    </row>
    <row r="2" spans="1:7" ht="17.399999999999999" x14ac:dyDescent="0.3">
      <c r="A2" s="1"/>
    </row>
    <row r="3" spans="1:7" x14ac:dyDescent="0.25">
      <c r="A3" s="2" t="s">
        <v>1</v>
      </c>
      <c r="B3" t="s">
        <v>2</v>
      </c>
    </row>
    <row r="4" spans="1:7" x14ac:dyDescent="0.25">
      <c r="A4" s="2" t="s">
        <v>3</v>
      </c>
      <c r="B4" t="s">
        <v>4</v>
      </c>
    </row>
    <row r="5" spans="1:7" x14ac:dyDescent="0.25">
      <c r="A5" s="2" t="s">
        <v>5</v>
      </c>
      <c r="B5" t="s">
        <v>6</v>
      </c>
    </row>
    <row r="6" spans="1:7" x14ac:dyDescent="0.25">
      <c r="A6" s="2"/>
    </row>
    <row r="7" spans="1:7" x14ac:dyDescent="0.25">
      <c r="A7" s="4" t="s">
        <v>7</v>
      </c>
    </row>
    <row r="8" spans="1:7" x14ac:dyDescent="0.25">
      <c r="A8" s="4" t="s">
        <v>8</v>
      </c>
    </row>
    <row r="9" spans="1:7" x14ac:dyDescent="0.25">
      <c r="A9" s="4" t="s">
        <v>9</v>
      </c>
    </row>
    <row r="10" spans="1:7" x14ac:dyDescent="0.25">
      <c r="A10" s="4"/>
    </row>
    <row r="11" spans="1:7" s="14" customFormat="1" x14ac:dyDescent="0.25">
      <c r="A11" s="14" t="s">
        <v>10</v>
      </c>
      <c r="B11" s="15"/>
      <c r="C11" s="15"/>
      <c r="D11" s="15"/>
      <c r="E11" s="15"/>
      <c r="F11" s="15"/>
      <c r="G11" s="15"/>
    </row>
    <row r="12" spans="1:7" s="14" customFormat="1" x14ac:dyDescent="0.25">
      <c r="A12" s="14" t="s">
        <v>11</v>
      </c>
      <c r="B12" s="15"/>
      <c r="C12" s="15"/>
      <c r="D12" s="15"/>
      <c r="E12" s="15"/>
      <c r="F12" s="15"/>
      <c r="G12" s="15"/>
    </row>
    <row r="13" spans="1:7" s="14" customFormat="1" x14ac:dyDescent="0.25">
      <c r="A13" s="14" t="s">
        <v>12</v>
      </c>
      <c r="B13" s="15"/>
      <c r="C13" s="15"/>
      <c r="D13" s="15"/>
      <c r="E13" s="15"/>
      <c r="F13" s="15"/>
      <c r="G13" s="15"/>
    </row>
    <row r="14" spans="1:7" s="14" customFormat="1" x14ac:dyDescent="0.25">
      <c r="A14" s="14" t="s">
        <v>13</v>
      </c>
      <c r="B14" s="15"/>
      <c r="C14" s="15"/>
      <c r="D14" s="15"/>
      <c r="E14" s="15"/>
      <c r="F14" s="15"/>
      <c r="G14" s="15"/>
    </row>
    <row r="15" spans="1:7" x14ac:dyDescent="0.25">
      <c r="A15" s="4"/>
      <c r="B15" s="5"/>
      <c r="C15" s="5"/>
      <c r="D15" s="5"/>
      <c r="E15" s="5"/>
      <c r="F15" s="5"/>
      <c r="G15" s="5"/>
    </row>
    <row r="16" spans="1:7" s="14" customFormat="1" x14ac:dyDescent="0.25">
      <c r="A16" s="14" t="s">
        <v>14</v>
      </c>
      <c r="B16" s="15"/>
      <c r="C16" s="15"/>
      <c r="D16" s="15"/>
      <c r="E16" s="15"/>
      <c r="F16" s="15"/>
      <c r="G16" s="15"/>
    </row>
    <row r="17" spans="1:9" s="14" customFormat="1" x14ac:dyDescent="0.25">
      <c r="A17" s="14" t="s">
        <v>15</v>
      </c>
      <c r="B17" s="15"/>
      <c r="C17" s="15"/>
      <c r="D17" s="15"/>
      <c r="E17" s="15"/>
      <c r="F17" s="15"/>
      <c r="G17" s="15"/>
    </row>
    <row r="18" spans="1:9" s="14" customFormat="1" x14ac:dyDescent="0.25">
      <c r="B18" s="15"/>
      <c r="C18" s="15"/>
      <c r="D18" s="15"/>
      <c r="E18" s="15"/>
      <c r="F18" s="15"/>
      <c r="G18" s="15"/>
    </row>
    <row r="19" spans="1:9" s="14" customFormat="1" x14ac:dyDescent="0.25">
      <c r="A19" s="14" t="s">
        <v>16</v>
      </c>
      <c r="B19" s="15"/>
      <c r="C19" s="15"/>
      <c r="D19" s="15"/>
      <c r="E19" s="15"/>
      <c r="F19" s="15"/>
      <c r="G19" s="15"/>
    </row>
    <row r="20" spans="1:9" s="14" customFormat="1" x14ac:dyDescent="0.25">
      <c r="A20" s="14" t="s">
        <v>17</v>
      </c>
      <c r="B20" s="15"/>
      <c r="C20" s="15"/>
      <c r="D20" s="15"/>
      <c r="E20" s="15"/>
      <c r="F20" s="15"/>
      <c r="G20" s="15"/>
    </row>
    <row r="21" spans="1:9" s="14" customFormat="1" x14ac:dyDescent="0.25">
      <c r="B21" s="15"/>
      <c r="C21" s="15"/>
      <c r="D21" s="15"/>
      <c r="E21" s="15"/>
      <c r="F21" s="15"/>
      <c r="G21" s="15"/>
      <c r="H21" s="15"/>
      <c r="I21" s="15"/>
    </row>
    <row r="22" spans="1:9" s="14" customFormat="1" x14ac:dyDescent="0.25">
      <c r="A22" s="14" t="s">
        <v>18</v>
      </c>
      <c r="B22" s="15"/>
      <c r="C22" s="15"/>
      <c r="D22" s="15"/>
      <c r="E22" s="15"/>
      <c r="F22" s="15"/>
      <c r="G22" s="15"/>
      <c r="H22" s="15"/>
      <c r="I22" s="15"/>
    </row>
    <row r="23" spans="1:9" s="14" customFormat="1" x14ac:dyDescent="0.25">
      <c r="A23" s="14" t="s">
        <v>19</v>
      </c>
      <c r="B23" s="15"/>
      <c r="C23" s="15"/>
      <c r="D23" s="15"/>
      <c r="E23" s="15"/>
      <c r="F23" s="15"/>
      <c r="G23" s="15"/>
      <c r="H23" s="15"/>
      <c r="I23" s="15"/>
    </row>
    <row r="24" spans="1:9" s="14" customFormat="1" x14ac:dyDescent="0.25">
      <c r="A24" s="14" t="s">
        <v>20</v>
      </c>
      <c r="B24" s="15"/>
      <c r="C24" s="15"/>
      <c r="D24" s="15"/>
      <c r="E24" s="15"/>
      <c r="F24" s="15"/>
      <c r="G24" s="15"/>
      <c r="H24" s="15"/>
      <c r="I24" s="15"/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6"/>
  <sheetViews>
    <sheetView showGridLines="0" workbookViewId="0">
      <selection activeCell="A11" sqref="A11"/>
    </sheetView>
  </sheetViews>
  <sheetFormatPr defaultColWidth="11.44140625" defaultRowHeight="13.2" x14ac:dyDescent="0.25"/>
  <cols>
    <col min="1" max="7" width="11.44140625" style="17" customWidth="1"/>
  </cols>
  <sheetData>
    <row r="1" spans="1:9" ht="15.6" x14ac:dyDescent="0.3">
      <c r="A1" s="16" t="s">
        <v>21</v>
      </c>
    </row>
    <row r="2" spans="1:9" s="4" customFormat="1" ht="10.199999999999999" x14ac:dyDescent="0.2">
      <c r="A2" s="18"/>
      <c r="B2" s="18"/>
      <c r="C2" s="18"/>
      <c r="D2" s="18"/>
      <c r="E2" s="18"/>
      <c r="F2" s="18"/>
      <c r="G2" s="18"/>
      <c r="H2" s="5"/>
      <c r="I2" s="5"/>
    </row>
    <row r="3" spans="1:9" s="4" customFormat="1" x14ac:dyDescent="0.25">
      <c r="A3" s="14" t="s">
        <v>22</v>
      </c>
      <c r="B3" s="18"/>
      <c r="C3" s="18"/>
      <c r="D3" s="18"/>
      <c r="E3" s="18"/>
      <c r="F3" s="18"/>
      <c r="G3" s="18"/>
      <c r="H3" s="5"/>
      <c r="I3" s="5"/>
    </row>
    <row r="4" spans="1:9" s="4" customFormat="1" x14ac:dyDescent="0.25">
      <c r="A4" s="14"/>
      <c r="B4" s="18"/>
      <c r="C4" s="18"/>
      <c r="D4" s="18"/>
      <c r="E4" s="18"/>
      <c r="F4" s="18"/>
      <c r="G4" s="18"/>
      <c r="H4" s="5"/>
      <c r="I4" s="5"/>
    </row>
    <row r="5" spans="1:9" s="4" customFormat="1" x14ac:dyDescent="0.25">
      <c r="A5" s="21" t="s">
        <v>23</v>
      </c>
      <c r="B5" s="19"/>
      <c r="C5" s="19"/>
      <c r="D5" s="19"/>
      <c r="E5" s="19"/>
      <c r="F5" s="19"/>
      <c r="G5" s="19"/>
      <c r="H5" s="5"/>
      <c r="I5" s="5"/>
    </row>
    <row r="6" spans="1:9" s="4" customFormat="1" x14ac:dyDescent="0.25">
      <c r="A6" s="21"/>
      <c r="B6" s="19"/>
      <c r="C6" s="19"/>
      <c r="D6" s="19"/>
      <c r="E6" s="19"/>
      <c r="F6" s="19"/>
      <c r="G6" s="19"/>
      <c r="H6" s="5"/>
      <c r="I6" s="5"/>
    </row>
    <row r="7" spans="1:9" s="4" customFormat="1" x14ac:dyDescent="0.25">
      <c r="A7" s="14" t="s">
        <v>24</v>
      </c>
      <c r="B7" s="22" t="s">
        <v>25</v>
      </c>
      <c r="C7" s="15"/>
      <c r="D7" s="15"/>
      <c r="E7" s="15"/>
      <c r="F7" s="15"/>
      <c r="G7" s="15"/>
      <c r="H7" s="5"/>
      <c r="I7" s="5"/>
    </row>
    <row r="8" spans="1:9" s="4" customFormat="1" x14ac:dyDescent="0.25">
      <c r="A8" t="s">
        <v>26</v>
      </c>
      <c r="B8" s="22" t="s">
        <v>27</v>
      </c>
      <c r="C8" s="15"/>
      <c r="D8" s="15"/>
      <c r="E8" s="15"/>
      <c r="F8" s="15"/>
      <c r="G8" s="15"/>
      <c r="H8" s="5"/>
      <c r="I8" s="5"/>
    </row>
    <row r="9" spans="1:9" s="4" customFormat="1" x14ac:dyDescent="0.25">
      <c r="A9"/>
      <c r="B9" s="22"/>
      <c r="C9" s="15"/>
      <c r="D9" s="15"/>
      <c r="E9" s="15"/>
      <c r="F9" s="15"/>
      <c r="G9" s="15"/>
      <c r="H9" s="5"/>
      <c r="I9" s="5"/>
    </row>
    <row r="10" spans="1:9" s="4" customFormat="1" x14ac:dyDescent="0.25">
      <c r="A10" s="14" t="s">
        <v>28</v>
      </c>
      <c r="B10" s="15"/>
      <c r="C10" s="15"/>
      <c r="D10" s="15"/>
      <c r="E10" s="15"/>
      <c r="F10" s="15"/>
      <c r="G10" s="15"/>
      <c r="H10" s="5"/>
      <c r="I10" s="5"/>
    </row>
    <row r="11" spans="1:9" s="4" customFormat="1" x14ac:dyDescent="0.25">
      <c r="A11" s="14" t="s">
        <v>29</v>
      </c>
      <c r="B11" s="15"/>
      <c r="C11" s="15"/>
      <c r="D11" s="15"/>
      <c r="E11" s="15"/>
      <c r="F11" s="15"/>
      <c r="G11" s="15"/>
      <c r="H11" s="5"/>
      <c r="I11" s="5"/>
    </row>
    <row r="12" spans="1:9" s="4" customFormat="1" x14ac:dyDescent="0.25">
      <c r="A12"/>
      <c r="B12" s="19"/>
      <c r="C12" s="19"/>
      <c r="D12" s="19"/>
      <c r="E12" s="19"/>
      <c r="F12" s="19"/>
      <c r="G12" s="19"/>
      <c r="H12" s="5"/>
      <c r="I12" s="5"/>
    </row>
    <row r="13" spans="1:9" s="4" customFormat="1" x14ac:dyDescent="0.25">
      <c r="A13" s="21" t="s">
        <v>30</v>
      </c>
      <c r="B13" s="19"/>
      <c r="C13" s="19"/>
      <c r="D13" s="19"/>
      <c r="E13" s="19"/>
      <c r="F13" s="19"/>
      <c r="G13" s="19"/>
      <c r="H13" s="5"/>
      <c r="I13" s="5"/>
    </row>
    <row r="14" spans="1:9" s="4" customFormat="1" x14ac:dyDescent="0.25">
      <c r="A14" s="21"/>
      <c r="B14" s="19"/>
      <c r="C14" s="19"/>
      <c r="D14" s="19"/>
      <c r="E14" s="19"/>
      <c r="F14" s="19"/>
      <c r="G14" s="19"/>
      <c r="H14" s="5"/>
      <c r="I14" s="5"/>
    </row>
    <row r="15" spans="1:9" x14ac:dyDescent="0.25">
      <c r="A15"/>
      <c r="B15"/>
      <c r="C15"/>
      <c r="D15"/>
      <c r="E15"/>
      <c r="F15"/>
      <c r="G15"/>
    </row>
    <row r="16" spans="1:9" x14ac:dyDescent="0.25">
      <c r="A16"/>
      <c r="B16"/>
      <c r="C16"/>
      <c r="D16"/>
      <c r="E16"/>
      <c r="F16"/>
      <c r="G16"/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146"/>
  <sheetViews>
    <sheetView showGridLines="0" topLeftCell="A15" zoomScale="130" zoomScaleNormal="130" workbookViewId="0">
      <selection activeCell="H1" sqref="H1"/>
    </sheetView>
  </sheetViews>
  <sheetFormatPr defaultColWidth="11.44140625" defaultRowHeight="13.2" x14ac:dyDescent="0.25"/>
  <sheetData>
    <row r="1" spans="1:9" ht="15.6" x14ac:dyDescent="0.3">
      <c r="A1" s="16" t="s">
        <v>31</v>
      </c>
      <c r="B1" s="17"/>
      <c r="C1" s="17"/>
      <c r="D1" s="17"/>
      <c r="E1" s="17"/>
      <c r="F1" s="17"/>
      <c r="G1" s="17"/>
    </row>
    <row r="2" spans="1:9" x14ac:dyDescent="0.25">
      <c r="A2" s="4"/>
    </row>
    <row r="3" spans="1:9" s="4" customFormat="1" x14ac:dyDescent="0.25">
      <c r="A3" t="s">
        <v>32</v>
      </c>
      <c r="B3"/>
      <c r="C3"/>
      <c r="D3"/>
      <c r="E3"/>
      <c r="F3"/>
      <c r="G3" s="5"/>
      <c r="H3" s="5"/>
      <c r="I3" s="5"/>
    </row>
    <row r="4" spans="1:9" s="4" customFormat="1" x14ac:dyDescent="0.25">
      <c r="A4"/>
      <c r="B4"/>
      <c r="C4"/>
      <c r="D4"/>
      <c r="E4"/>
      <c r="F4"/>
    </row>
    <row r="5" spans="1:9" s="4" customFormat="1" x14ac:dyDescent="0.25">
      <c r="A5" s="8" t="s">
        <v>33</v>
      </c>
      <c r="B5"/>
      <c r="C5"/>
      <c r="D5"/>
      <c r="E5"/>
      <c r="F5"/>
    </row>
    <row r="6" spans="1:9" s="4" customFormat="1" x14ac:dyDescent="0.25">
      <c r="A6"/>
      <c r="B6"/>
      <c r="C6"/>
      <c r="D6"/>
      <c r="E6"/>
      <c r="F6"/>
    </row>
    <row r="7" spans="1:9" s="4" customFormat="1" x14ac:dyDescent="0.25">
      <c r="A7" t="s">
        <v>34</v>
      </c>
      <c r="B7"/>
      <c r="C7" s="7" t="s">
        <v>35</v>
      </c>
      <c r="D7"/>
      <c r="E7"/>
      <c r="F7"/>
    </row>
    <row r="8" spans="1:9" s="4" customFormat="1" x14ac:dyDescent="0.25">
      <c r="A8"/>
      <c r="B8"/>
      <c r="C8"/>
      <c r="D8"/>
      <c r="E8"/>
      <c r="F8"/>
    </row>
    <row r="9" spans="1:9" s="4" customFormat="1" x14ac:dyDescent="0.25">
      <c r="A9" t="s">
        <v>36</v>
      </c>
      <c r="B9"/>
      <c r="C9" t="s">
        <v>37</v>
      </c>
      <c r="D9" t="s">
        <v>38</v>
      </c>
      <c r="E9"/>
      <c r="F9"/>
    </row>
    <row r="10" spans="1:9" s="4" customFormat="1" x14ac:dyDescent="0.25">
      <c r="A10"/>
      <c r="B10"/>
      <c r="C10"/>
      <c r="D10"/>
      <c r="E10"/>
      <c r="F10"/>
    </row>
    <row r="11" spans="1:9" s="4" customFormat="1" x14ac:dyDescent="0.25">
      <c r="A11" t="s">
        <v>39</v>
      </c>
      <c r="B11"/>
      <c r="C11" t="s">
        <v>40</v>
      </c>
      <c r="D11"/>
      <c r="E11"/>
      <c r="F11"/>
    </row>
    <row r="13" spans="1:9" x14ac:dyDescent="0.25">
      <c r="A13" t="s">
        <v>41</v>
      </c>
      <c r="C13" t="s">
        <v>42</v>
      </c>
    </row>
    <row r="15" spans="1:9" x14ac:dyDescent="0.25">
      <c r="A15" t="s">
        <v>43</v>
      </c>
      <c r="C15" t="s">
        <v>44</v>
      </c>
    </row>
    <row r="16" spans="1:9" x14ac:dyDescent="0.25">
      <c r="C16" t="s">
        <v>45</v>
      </c>
      <c r="F16" s="7" t="s">
        <v>46</v>
      </c>
    </row>
    <row r="17" spans="1:7" x14ac:dyDescent="0.25">
      <c r="C17" t="s">
        <v>47</v>
      </c>
      <c r="F17" s="9" t="e">
        <f ca="1">[1]!waterprop.BOILP(1)-273.15</f>
        <v>#NAME?</v>
      </c>
      <c r="G17" t="s">
        <v>48</v>
      </c>
    </row>
    <row r="18" spans="1:7" x14ac:dyDescent="0.25">
      <c r="F18" s="6"/>
    </row>
    <row r="19" spans="1:7" x14ac:dyDescent="0.25">
      <c r="A19" s="8" t="s">
        <v>49</v>
      </c>
    </row>
    <row r="21" spans="1:7" x14ac:dyDescent="0.25">
      <c r="A21" t="s">
        <v>34</v>
      </c>
      <c r="C21" s="3" t="s">
        <v>50</v>
      </c>
    </row>
    <row r="23" spans="1:7" x14ac:dyDescent="0.25">
      <c r="A23" t="s">
        <v>36</v>
      </c>
      <c r="C23" t="s">
        <v>51</v>
      </c>
      <c r="D23" t="s">
        <v>52</v>
      </c>
    </row>
    <row r="25" spans="1:7" x14ac:dyDescent="0.25">
      <c r="A25" t="s">
        <v>39</v>
      </c>
      <c r="C25" t="s">
        <v>53</v>
      </c>
    </row>
    <row r="27" spans="1:7" x14ac:dyDescent="0.25">
      <c r="A27" t="s">
        <v>41</v>
      </c>
      <c r="C27" t="s">
        <v>54</v>
      </c>
    </row>
    <row r="29" spans="1:7" x14ac:dyDescent="0.25">
      <c r="A29" t="s">
        <v>43</v>
      </c>
      <c r="C29" t="s">
        <v>55</v>
      </c>
    </row>
    <row r="30" spans="1:7" x14ac:dyDescent="0.25">
      <c r="C30" t="s">
        <v>45</v>
      </c>
      <c r="F30" s="7" t="s">
        <v>56</v>
      </c>
    </row>
    <row r="31" spans="1:7" x14ac:dyDescent="0.25">
      <c r="C31" t="s">
        <v>47</v>
      </c>
      <c r="F31" s="10" t="e">
        <f ca="1">[1]!waterprop.VAPP(373.15)</f>
        <v>#NAME?</v>
      </c>
      <c r="G31" t="s">
        <v>57</v>
      </c>
    </row>
    <row r="33" spans="1:7" x14ac:dyDescent="0.25">
      <c r="A33" s="8" t="s">
        <v>58</v>
      </c>
    </row>
    <row r="35" spans="1:7" x14ac:dyDescent="0.25">
      <c r="A35" t="s">
        <v>34</v>
      </c>
      <c r="C35" s="3" t="s">
        <v>59</v>
      </c>
    </row>
    <row r="37" spans="1:7" x14ac:dyDescent="0.25">
      <c r="A37" t="s">
        <v>36</v>
      </c>
      <c r="C37" t="s">
        <v>60</v>
      </c>
      <c r="D37" t="s">
        <v>52</v>
      </c>
    </row>
    <row r="38" spans="1:7" x14ac:dyDescent="0.25">
      <c r="C38" t="s">
        <v>37</v>
      </c>
      <c r="D38" t="s">
        <v>38</v>
      </c>
    </row>
    <row r="40" spans="1:7" ht="15.6" x14ac:dyDescent="0.25">
      <c r="A40" t="s">
        <v>39</v>
      </c>
      <c r="C40" t="s">
        <v>61</v>
      </c>
    </row>
    <row r="42" spans="1:7" x14ac:dyDescent="0.25">
      <c r="A42" t="s">
        <v>41</v>
      </c>
      <c r="C42" t="s">
        <v>62</v>
      </c>
    </row>
    <row r="43" spans="1:7" x14ac:dyDescent="0.25">
      <c r="C43" t="s">
        <v>63</v>
      </c>
    </row>
    <row r="45" spans="1:7" x14ac:dyDescent="0.25">
      <c r="A45" t="s">
        <v>43</v>
      </c>
      <c r="C45" t="s">
        <v>64</v>
      </c>
    </row>
    <row r="46" spans="1:7" x14ac:dyDescent="0.25">
      <c r="C46" t="s">
        <v>45</v>
      </c>
      <c r="F46" s="7" t="s">
        <v>65</v>
      </c>
    </row>
    <row r="47" spans="1:7" ht="15.6" x14ac:dyDescent="0.25">
      <c r="C47" t="s">
        <v>47</v>
      </c>
      <c r="F47" s="11" t="e">
        <f ca="1">1/[1]!waterprop.VSUB1(293.15,1)</f>
        <v>#NAME?</v>
      </c>
      <c r="G47" t="s">
        <v>66</v>
      </c>
    </row>
    <row r="49" spans="1:7" x14ac:dyDescent="0.25">
      <c r="A49" s="8" t="s">
        <v>67</v>
      </c>
    </row>
    <row r="51" spans="1:7" x14ac:dyDescent="0.25">
      <c r="A51" t="s">
        <v>34</v>
      </c>
      <c r="C51" s="3" t="s">
        <v>68</v>
      </c>
    </row>
    <row r="53" spans="1:7" x14ac:dyDescent="0.25">
      <c r="A53" t="s">
        <v>36</v>
      </c>
      <c r="C53" t="s">
        <v>60</v>
      </c>
      <c r="D53" t="s">
        <v>52</v>
      </c>
    </row>
    <row r="54" spans="1:7" x14ac:dyDescent="0.25">
      <c r="C54" t="s">
        <v>37</v>
      </c>
      <c r="D54" t="s">
        <v>38</v>
      </c>
    </row>
    <row r="56" spans="1:7" ht="15.6" x14ac:dyDescent="0.25">
      <c r="A56" t="s">
        <v>39</v>
      </c>
      <c r="C56" t="s">
        <v>61</v>
      </c>
    </row>
    <row r="58" spans="1:7" x14ac:dyDescent="0.25">
      <c r="A58" t="s">
        <v>41</v>
      </c>
      <c r="C58" t="s">
        <v>69</v>
      </c>
    </row>
    <row r="59" spans="1:7" x14ac:dyDescent="0.25">
      <c r="C59" t="s">
        <v>70</v>
      </c>
    </row>
    <row r="61" spans="1:7" x14ac:dyDescent="0.25">
      <c r="A61" t="s">
        <v>43</v>
      </c>
      <c r="C61" t="s">
        <v>71</v>
      </c>
    </row>
    <row r="62" spans="1:7" x14ac:dyDescent="0.25">
      <c r="C62" t="s">
        <v>72</v>
      </c>
    </row>
    <row r="63" spans="1:7" x14ac:dyDescent="0.25">
      <c r="C63" t="s">
        <v>45</v>
      </c>
      <c r="F63" s="7" t="s">
        <v>73</v>
      </c>
    </row>
    <row r="64" spans="1:7" ht="15.6" x14ac:dyDescent="0.25">
      <c r="C64" t="s">
        <v>47</v>
      </c>
      <c r="F64" s="12" t="e">
        <f ca="1">[1]!waterprop.VSUB2([1]!waterprop.BOILP(5),5)</f>
        <v>#NAME?</v>
      </c>
      <c r="G64" t="s">
        <v>74</v>
      </c>
    </row>
    <row r="66" spans="1:7" x14ac:dyDescent="0.25">
      <c r="A66" s="8" t="s">
        <v>75</v>
      </c>
    </row>
    <row r="68" spans="1:7" x14ac:dyDescent="0.25">
      <c r="A68" t="s">
        <v>34</v>
      </c>
      <c r="C68" s="3" t="s">
        <v>76</v>
      </c>
    </row>
    <row r="70" spans="1:7" x14ac:dyDescent="0.25">
      <c r="A70" t="s">
        <v>36</v>
      </c>
      <c r="C70" t="s">
        <v>60</v>
      </c>
      <c r="D70" t="s">
        <v>52</v>
      </c>
    </row>
    <row r="71" spans="1:7" x14ac:dyDescent="0.25">
      <c r="C71" t="s">
        <v>37</v>
      </c>
      <c r="D71" t="s">
        <v>38</v>
      </c>
    </row>
    <row r="73" spans="1:7" x14ac:dyDescent="0.25">
      <c r="A73" t="s">
        <v>39</v>
      </c>
      <c r="C73" t="s">
        <v>77</v>
      </c>
    </row>
    <row r="75" spans="1:7" x14ac:dyDescent="0.25">
      <c r="A75" t="s">
        <v>41</v>
      </c>
      <c r="C75" t="s">
        <v>62</v>
      </c>
    </row>
    <row r="76" spans="1:7" x14ac:dyDescent="0.25">
      <c r="C76" t="s">
        <v>63</v>
      </c>
    </row>
    <row r="78" spans="1:7" x14ac:dyDescent="0.25">
      <c r="A78" t="s">
        <v>43</v>
      </c>
      <c r="C78" t="s">
        <v>78</v>
      </c>
    </row>
    <row r="79" spans="1:7" x14ac:dyDescent="0.25">
      <c r="C79" t="s">
        <v>45</v>
      </c>
      <c r="F79" s="3" t="s">
        <v>79</v>
      </c>
    </row>
    <row r="80" spans="1:7" x14ac:dyDescent="0.25">
      <c r="C80" t="s">
        <v>47</v>
      </c>
      <c r="F80" s="11" t="e">
        <f ca="1">[1]!waterprop.HSUB1(293.15,1)</f>
        <v>#NAME?</v>
      </c>
      <c r="G80" t="s">
        <v>80</v>
      </c>
    </row>
    <row r="82" spans="1:6" x14ac:dyDescent="0.25">
      <c r="A82" s="8" t="s">
        <v>81</v>
      </c>
    </row>
    <row r="84" spans="1:6" x14ac:dyDescent="0.25">
      <c r="A84" t="s">
        <v>34</v>
      </c>
      <c r="C84" s="3" t="s">
        <v>82</v>
      </c>
    </row>
    <row r="86" spans="1:6" x14ac:dyDescent="0.25">
      <c r="A86" t="s">
        <v>36</v>
      </c>
      <c r="C86" t="s">
        <v>60</v>
      </c>
      <c r="D86" t="s">
        <v>52</v>
      </c>
    </row>
    <row r="87" spans="1:6" x14ac:dyDescent="0.25">
      <c r="C87" t="s">
        <v>37</v>
      </c>
      <c r="D87" t="s">
        <v>38</v>
      </c>
    </row>
    <row r="89" spans="1:6" x14ac:dyDescent="0.25">
      <c r="A89" t="s">
        <v>39</v>
      </c>
      <c r="C89" t="s">
        <v>77</v>
      </c>
    </row>
    <row r="91" spans="1:6" x14ac:dyDescent="0.25">
      <c r="A91" t="s">
        <v>41</v>
      </c>
      <c r="C91" t="s">
        <v>69</v>
      </c>
    </row>
    <row r="92" spans="1:6" x14ac:dyDescent="0.25">
      <c r="C92" t="s">
        <v>70</v>
      </c>
    </row>
    <row r="94" spans="1:6" x14ac:dyDescent="0.25">
      <c r="A94" t="s">
        <v>43</v>
      </c>
      <c r="C94" t="s">
        <v>83</v>
      </c>
    </row>
    <row r="95" spans="1:6" x14ac:dyDescent="0.25">
      <c r="C95" t="s">
        <v>72</v>
      </c>
    </row>
    <row r="96" spans="1:6" x14ac:dyDescent="0.25">
      <c r="C96" t="s">
        <v>45</v>
      </c>
      <c r="F96" s="7" t="s">
        <v>84</v>
      </c>
    </row>
    <row r="97" spans="1:7" x14ac:dyDescent="0.25">
      <c r="C97" t="s">
        <v>47</v>
      </c>
      <c r="F97" s="11" t="e">
        <f ca="1">[1]!waterprop.HSUB2([1]!waterprop.BOILP(5),5)</f>
        <v>#NAME?</v>
      </c>
      <c r="G97" t="s">
        <v>80</v>
      </c>
    </row>
    <row r="99" spans="1:7" x14ac:dyDescent="0.25">
      <c r="A99" s="8" t="s">
        <v>85</v>
      </c>
    </row>
    <row r="101" spans="1:7" x14ac:dyDescent="0.25">
      <c r="A101" t="s">
        <v>34</v>
      </c>
      <c r="C101" s="3" t="s">
        <v>86</v>
      </c>
    </row>
    <row r="103" spans="1:7" x14ac:dyDescent="0.25">
      <c r="A103" t="s">
        <v>36</v>
      </c>
      <c r="C103" t="s">
        <v>60</v>
      </c>
      <c r="D103" t="s">
        <v>52</v>
      </c>
    </row>
    <row r="104" spans="1:7" x14ac:dyDescent="0.25">
      <c r="C104" t="s">
        <v>37</v>
      </c>
      <c r="D104" t="s">
        <v>38</v>
      </c>
    </row>
    <row r="105" spans="1:7" x14ac:dyDescent="0.25">
      <c r="C105" t="s">
        <v>87</v>
      </c>
      <c r="D105" t="s">
        <v>88</v>
      </c>
    </row>
    <row r="107" spans="1:7" x14ac:dyDescent="0.25">
      <c r="A107" t="s">
        <v>39</v>
      </c>
      <c r="C107" t="s">
        <v>89</v>
      </c>
    </row>
    <row r="109" spans="1:7" x14ac:dyDescent="0.25">
      <c r="A109" t="s">
        <v>41</v>
      </c>
      <c r="C109" t="s">
        <v>69</v>
      </c>
    </row>
    <row r="110" spans="1:7" x14ac:dyDescent="0.25">
      <c r="C110" t="s">
        <v>90</v>
      </c>
    </row>
    <row r="112" spans="1:7" x14ac:dyDescent="0.25">
      <c r="A112" t="s">
        <v>43</v>
      </c>
      <c r="C112" t="s">
        <v>91</v>
      </c>
    </row>
    <row r="113" spans="1:7" x14ac:dyDescent="0.25">
      <c r="C113" t="s">
        <v>45</v>
      </c>
      <c r="F113" s="7" t="s">
        <v>92</v>
      </c>
    </row>
    <row r="114" spans="1:7" x14ac:dyDescent="0.25">
      <c r="C114" t="s">
        <v>47</v>
      </c>
      <c r="F114" s="10" t="e">
        <f ca="1">[1]!waterprop.HCAP(293.15,1,1)</f>
        <v>#NAME?</v>
      </c>
      <c r="G114" t="s">
        <v>93</v>
      </c>
    </row>
    <row r="116" spans="1:7" x14ac:dyDescent="0.25">
      <c r="A116" s="8" t="s">
        <v>94</v>
      </c>
    </row>
    <row r="118" spans="1:7" x14ac:dyDescent="0.25">
      <c r="A118" t="s">
        <v>34</v>
      </c>
      <c r="C118" s="3" t="s">
        <v>95</v>
      </c>
    </row>
    <row r="120" spans="1:7" x14ac:dyDescent="0.25">
      <c r="A120" t="s">
        <v>36</v>
      </c>
      <c r="C120" t="s">
        <v>60</v>
      </c>
      <c r="D120" t="s">
        <v>52</v>
      </c>
    </row>
    <row r="121" spans="1:7" x14ac:dyDescent="0.25">
      <c r="C121" t="s">
        <v>96</v>
      </c>
      <c r="D121" t="s">
        <v>97</v>
      </c>
    </row>
    <row r="123" spans="1:7" ht="15.6" x14ac:dyDescent="0.25">
      <c r="A123" t="s">
        <v>39</v>
      </c>
      <c r="C123" t="s">
        <v>98</v>
      </c>
    </row>
    <row r="125" spans="1:7" x14ac:dyDescent="0.25">
      <c r="A125" t="s">
        <v>41</v>
      </c>
      <c r="C125" t="s">
        <v>99</v>
      </c>
    </row>
    <row r="126" spans="1:7" x14ac:dyDescent="0.25">
      <c r="C126" t="s">
        <v>100</v>
      </c>
    </row>
    <row r="128" spans="1:7" x14ac:dyDescent="0.25">
      <c r="A128" t="s">
        <v>43</v>
      </c>
      <c r="C128" t="s">
        <v>101</v>
      </c>
    </row>
    <row r="129" spans="1:7" x14ac:dyDescent="0.25">
      <c r="C129" t="s">
        <v>45</v>
      </c>
      <c r="F129" s="3" t="s">
        <v>102</v>
      </c>
    </row>
    <row r="130" spans="1:7" x14ac:dyDescent="0.25">
      <c r="C130" t="s">
        <v>47</v>
      </c>
      <c r="F130" s="13" t="e">
        <f ca="1">[1]!waterprop.ETAF(293.15,[1]!waterprop.VSUB1(293.15,1))*0.000001</f>
        <v>#NAME?</v>
      </c>
      <c r="G130" t="s">
        <v>103</v>
      </c>
    </row>
    <row r="132" spans="1:7" x14ac:dyDescent="0.25">
      <c r="A132" s="8" t="s">
        <v>104</v>
      </c>
    </row>
    <row r="134" spans="1:7" x14ac:dyDescent="0.25">
      <c r="A134" t="s">
        <v>34</v>
      </c>
      <c r="C134" s="3" t="s">
        <v>105</v>
      </c>
    </row>
    <row r="136" spans="1:7" x14ac:dyDescent="0.25">
      <c r="A136" t="s">
        <v>36</v>
      </c>
      <c r="C136" t="s">
        <v>60</v>
      </c>
      <c r="D136" t="s">
        <v>52</v>
      </c>
    </row>
    <row r="137" spans="1:7" ht="15.6" x14ac:dyDescent="0.25">
      <c r="C137" t="s">
        <v>96</v>
      </c>
      <c r="D137" t="s">
        <v>61</v>
      </c>
    </row>
    <row r="139" spans="1:7" x14ac:dyDescent="0.25">
      <c r="A139" t="s">
        <v>39</v>
      </c>
      <c r="C139" t="s">
        <v>106</v>
      </c>
    </row>
    <row r="141" spans="1:7" x14ac:dyDescent="0.25">
      <c r="A141" t="s">
        <v>41</v>
      </c>
      <c r="C141" t="s">
        <v>107</v>
      </c>
    </row>
    <row r="142" spans="1:7" x14ac:dyDescent="0.25">
      <c r="C142" t="s">
        <v>108</v>
      </c>
    </row>
    <row r="144" spans="1:7" x14ac:dyDescent="0.25">
      <c r="A144" t="s">
        <v>43</v>
      </c>
      <c r="C144" t="s">
        <v>109</v>
      </c>
    </row>
    <row r="145" spans="3:7" x14ac:dyDescent="0.25">
      <c r="C145" t="s">
        <v>45</v>
      </c>
      <c r="F145" s="3" t="s">
        <v>110</v>
      </c>
    </row>
    <row r="146" spans="3:7" x14ac:dyDescent="0.25">
      <c r="C146" t="s">
        <v>47</v>
      </c>
      <c r="F146" s="12" t="e">
        <f ca="1">[1]!waterprop.TCON([1]!BOILP(5),[1]!waterprop.VSUB2([1]!BOILP(5),5))</f>
        <v>#NAME?</v>
      </c>
      <c r="G146" t="s">
        <v>111</v>
      </c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D57A0-15EC-4EBF-911C-E552344ADD12}">
  <dimension ref="A1:D61"/>
  <sheetViews>
    <sheetView topLeftCell="A33" workbookViewId="0">
      <selection activeCell="B53" sqref="B53"/>
    </sheetView>
  </sheetViews>
  <sheetFormatPr defaultRowHeight="13.2" x14ac:dyDescent="0.25"/>
  <cols>
    <col min="1" max="1" width="11.21875" bestFit="1" customWidth="1"/>
    <col min="2" max="2" width="10.109375" customWidth="1"/>
  </cols>
  <sheetData>
    <row r="1" spans="1:4" x14ac:dyDescent="0.25">
      <c r="A1" s="23" t="s">
        <v>112</v>
      </c>
      <c r="B1" s="23"/>
    </row>
    <row r="2" spans="1:4" x14ac:dyDescent="0.25">
      <c r="A2" s="23" t="s">
        <v>51</v>
      </c>
      <c r="B2" s="23" t="s">
        <v>113</v>
      </c>
    </row>
    <row r="3" spans="1:4" x14ac:dyDescent="0.25">
      <c r="A3" s="23">
        <v>100</v>
      </c>
      <c r="B3" s="23" cm="1">
        <f t="array" ref="B3">vapp(A3+273.15)</f>
        <v>1.013245216435261</v>
      </c>
    </row>
    <row r="4" spans="1:4" x14ac:dyDescent="0.25">
      <c r="A4" s="23">
        <v>150</v>
      </c>
      <c r="B4" s="23" cm="1">
        <f t="array" ref="B4">vapp(A4+273.15)</f>
        <v>4.7597150756287618</v>
      </c>
    </row>
    <row r="5" spans="1:4" x14ac:dyDescent="0.25">
      <c r="A5" s="23">
        <v>200</v>
      </c>
      <c r="B5" s="23" cm="1">
        <f t="array" ref="B5">vapp(A5+273.15)</f>
        <v>15.550541108699754</v>
      </c>
    </row>
    <row r="6" spans="1:4" x14ac:dyDescent="0.25">
      <c r="A6" s="23">
        <v>250</v>
      </c>
      <c r="B6" s="23" cm="1">
        <f t="array" ref="B6">vapp(A6+273.15)</f>
        <v>39.775960190006934</v>
      </c>
    </row>
    <row r="8" spans="1:4" x14ac:dyDescent="0.25">
      <c r="A8" s="23" t="s">
        <v>114</v>
      </c>
      <c r="B8" s="23"/>
    </row>
    <row r="9" spans="1:4" x14ac:dyDescent="0.25">
      <c r="A9" s="23" t="s">
        <v>116</v>
      </c>
      <c r="B9" s="23" t="s">
        <v>118</v>
      </c>
    </row>
    <row r="10" spans="1:4" x14ac:dyDescent="0.25">
      <c r="A10" s="23">
        <v>1</v>
      </c>
      <c r="B10" s="23" cm="1">
        <f t="array" ref="B10">BOILP(A10)-273</f>
        <v>99.782162761688198</v>
      </c>
    </row>
    <row r="11" spans="1:4" x14ac:dyDescent="0.25">
      <c r="A11" s="23">
        <v>5</v>
      </c>
      <c r="B11" s="23" cm="1">
        <f t="array" ref="B11">BOILP(A11)-273</f>
        <v>151.99561872482303</v>
      </c>
    </row>
    <row r="12" spans="1:4" x14ac:dyDescent="0.25">
      <c r="A12" s="23">
        <v>10</v>
      </c>
      <c r="B12" s="23" cm="1">
        <f t="array" ref="B12">BOILP(A12)-273</f>
        <v>180.0327589988708</v>
      </c>
    </row>
    <row r="13" spans="1:4" x14ac:dyDescent="0.25">
      <c r="A13" s="23">
        <v>15</v>
      </c>
      <c r="B13" s="23" cm="1">
        <f t="array" ref="B13">BOILP(A13)-273</f>
        <v>198.4339245796204</v>
      </c>
    </row>
    <row r="15" spans="1:4" x14ac:dyDescent="0.25">
      <c r="A15" t="s">
        <v>117</v>
      </c>
    </row>
    <row r="16" spans="1:4" x14ac:dyDescent="0.25">
      <c r="A16" s="23" t="s">
        <v>119</v>
      </c>
      <c r="B16">
        <v>270</v>
      </c>
      <c r="C16" t="s">
        <v>113</v>
      </c>
      <c r="D16" cm="1">
        <f t="array" ref="D16">vapp(B16+273.15)</f>
        <v>55.051013881364746</v>
      </c>
    </row>
    <row r="17" spans="1:4" x14ac:dyDescent="0.25">
      <c r="A17" s="23" t="s">
        <v>116</v>
      </c>
      <c r="B17">
        <v>70</v>
      </c>
      <c r="C17" t="s">
        <v>120</v>
      </c>
      <c r="D17" t="s">
        <v>122</v>
      </c>
    </row>
    <row r="18" spans="1:4" x14ac:dyDescent="0.25">
      <c r="A18" s="23"/>
      <c r="B18" t="s">
        <v>121</v>
      </c>
    </row>
    <row r="19" spans="1:4" x14ac:dyDescent="0.25">
      <c r="A19" s="23"/>
    </row>
    <row r="20" spans="1:4" x14ac:dyDescent="0.25">
      <c r="A20" t="s">
        <v>123</v>
      </c>
    </row>
    <row r="21" spans="1:4" x14ac:dyDescent="0.25">
      <c r="A21" s="23" t="s">
        <v>119</v>
      </c>
      <c r="B21">
        <v>240</v>
      </c>
      <c r="C21" t="s">
        <v>113</v>
      </c>
      <c r="D21" cm="1">
        <f t="array" ref="D21">vapp(B21+273.15)</f>
        <v>33.480333490174147</v>
      </c>
    </row>
    <row r="22" spans="1:4" x14ac:dyDescent="0.25">
      <c r="A22" s="23" t="s">
        <v>116</v>
      </c>
      <c r="B22">
        <v>33.4</v>
      </c>
      <c r="C22" t="s">
        <v>120</v>
      </c>
      <c r="D22" t="s">
        <v>124</v>
      </c>
    </row>
    <row r="23" spans="1:4" x14ac:dyDescent="0.25">
      <c r="B23" t="s">
        <v>125</v>
      </c>
    </row>
    <row r="25" spans="1:4" x14ac:dyDescent="0.25">
      <c r="A25" t="s">
        <v>126</v>
      </c>
    </row>
    <row r="26" spans="1:4" x14ac:dyDescent="0.25">
      <c r="A26" s="23" t="s">
        <v>118</v>
      </c>
      <c r="B26" t="s">
        <v>131</v>
      </c>
      <c r="D26" t="s">
        <v>127</v>
      </c>
    </row>
    <row r="27" spans="1:4" x14ac:dyDescent="0.25">
      <c r="A27" s="23">
        <v>100</v>
      </c>
      <c r="B27" s="24" cm="1">
        <f t="array" ref="B27">HSUB1(A27+273.15,vapp(A27+273.15))</f>
        <v>419.06468352179985</v>
      </c>
      <c r="C27" cm="1">
        <f t="array" ref="C27">HSUB2(A27+273.15,vapp(A27+273.15))</f>
        <v>2676.0088597191721</v>
      </c>
      <c r="D27" cm="1">
        <f t="array" ref="D27">B27-(vapp(A27+273.15)*VSUB1(A27+273.15,vapp(A27+273.15))*100)</f>
        <v>418.95893029159021</v>
      </c>
    </row>
    <row r="28" spans="1:4" x14ac:dyDescent="0.25">
      <c r="A28" s="23">
        <v>150</v>
      </c>
      <c r="B28" s="24" cm="1">
        <f t="array" ref="B28">HSUB1(A28+273.15,vapp(A28+273.15))</f>
        <v>632.14972444466218</v>
      </c>
      <c r="C28" cm="1">
        <f t="array" ref="C28">HSUB2(A28+273.15,vapp(A28+273.15))</f>
        <v>2745.369677415762</v>
      </c>
    </row>
    <row r="29" spans="1:4" x14ac:dyDescent="0.25">
      <c r="A29" s="23">
        <v>200</v>
      </c>
      <c r="B29" s="24" cm="1">
        <f t="array" ref="B29">HSUB1(A29+273.15,vapp(A29+273.15))</f>
        <v>852.37103383231135</v>
      </c>
      <c r="C29" cm="1">
        <f t="array" ref="C29">HSUB2(A29+273.15,vapp(A29+273.15))</f>
        <v>2790.9276394052795</v>
      </c>
    </row>
    <row r="30" spans="1:4" x14ac:dyDescent="0.25">
      <c r="A30" s="23">
        <v>250</v>
      </c>
      <c r="B30" s="24" cm="1">
        <f t="array" ref="B30">HSUB1(A30+273.15,vapp(A30+273.15))</f>
        <v>1085.7838180660717</v>
      </c>
      <c r="C30" cm="1">
        <f t="array" ref="C30">HSUB2(A30+273.15,vapp(A30+273.15))</f>
        <v>2800.4349198060781</v>
      </c>
    </row>
    <row r="32" spans="1:4" x14ac:dyDescent="0.25">
      <c r="A32" t="s">
        <v>128</v>
      </c>
    </row>
    <row r="33" spans="1:4" x14ac:dyDescent="0.25">
      <c r="A33" t="s">
        <v>119</v>
      </c>
      <c r="B33">
        <v>250</v>
      </c>
      <c r="C33" t="s">
        <v>115</v>
      </c>
      <c r="D33" cm="1">
        <f t="array" ref="D33">BOILP(B34)-273.15</f>
        <v>275.55986738204945</v>
      </c>
    </row>
    <row r="34" spans="1:4" x14ac:dyDescent="0.25">
      <c r="A34" s="23" t="s">
        <v>116</v>
      </c>
      <c r="B34">
        <v>60</v>
      </c>
      <c r="C34" t="s">
        <v>120</v>
      </c>
      <c r="D34" t="s">
        <v>122</v>
      </c>
    </row>
    <row r="35" spans="1:4" x14ac:dyDescent="0.25">
      <c r="A35" t="s">
        <v>129</v>
      </c>
      <c r="C35" t="s">
        <v>113</v>
      </c>
      <c r="D35" cm="1">
        <f t="array" ref="D35">vapp(B33+273.15)</f>
        <v>39.775960190006934</v>
      </c>
    </row>
    <row r="36" spans="1:4" x14ac:dyDescent="0.25">
      <c r="A36" t="s">
        <v>130</v>
      </c>
      <c r="B36" cm="1">
        <f t="array" ref="B36">HSUB1(B33+273.15,B34)</f>
        <v>1085.7513377627508</v>
      </c>
      <c r="C36" t="s">
        <v>80</v>
      </c>
    </row>
    <row r="37" spans="1:4" x14ac:dyDescent="0.25">
      <c r="A37" t="s">
        <v>130</v>
      </c>
      <c r="B37" cm="1">
        <f t="array" ref="B37">HSUB1(B33+273.15,D35)</f>
        <v>1085.7838180660717</v>
      </c>
      <c r="C37" t="s">
        <v>80</v>
      </c>
    </row>
    <row r="39" spans="1:4" x14ac:dyDescent="0.25">
      <c r="A39" t="s">
        <v>132</v>
      </c>
    </row>
    <row r="40" spans="1:4" x14ac:dyDescent="0.25">
      <c r="A40" t="s">
        <v>119</v>
      </c>
      <c r="B40">
        <v>300</v>
      </c>
      <c r="C40" t="s">
        <v>115</v>
      </c>
      <c r="D40" cm="1">
        <f t="array" ref="D40">BOILP(B41)-273.15</f>
        <v>275.55986738204945</v>
      </c>
    </row>
    <row r="41" spans="1:4" x14ac:dyDescent="0.25">
      <c r="A41" s="25" t="s">
        <v>116</v>
      </c>
      <c r="B41">
        <v>60</v>
      </c>
      <c r="C41" t="s">
        <v>120</v>
      </c>
      <c r="D41" t="s">
        <v>133</v>
      </c>
    </row>
    <row r="42" spans="1:4" x14ac:dyDescent="0.25">
      <c r="A42" t="s">
        <v>134</v>
      </c>
      <c r="C42" t="s">
        <v>113</v>
      </c>
      <c r="D42" cm="1">
        <f t="array" ref="D42">vapp(B40+273.15)</f>
        <v>85.916614341946101</v>
      </c>
    </row>
    <row r="43" spans="1:4" x14ac:dyDescent="0.25">
      <c r="A43" t="s">
        <v>130</v>
      </c>
      <c r="B43" cm="1">
        <f t="array" ref="B43">HSUB2(B40+273.15,B41)</f>
        <v>2885.0051302926945</v>
      </c>
      <c r="C43" t="s">
        <v>80</v>
      </c>
    </row>
    <row r="44" spans="1:4" x14ac:dyDescent="0.25">
      <c r="A44" t="s">
        <v>130</v>
      </c>
      <c r="B44" cm="1">
        <f t="array" ref="B44">HSUB2(B40+273.15,D42)</f>
        <v>2751.0947867833243</v>
      </c>
      <c r="C44" t="s">
        <v>80</v>
      </c>
    </row>
    <row r="46" spans="1:4" x14ac:dyDescent="0.25">
      <c r="A46" t="s">
        <v>135</v>
      </c>
    </row>
    <row r="47" spans="1:4" x14ac:dyDescent="0.25">
      <c r="A47" t="s">
        <v>119</v>
      </c>
      <c r="B47">
        <v>250</v>
      </c>
      <c r="C47" t="s">
        <v>115</v>
      </c>
      <c r="D47" cm="1">
        <f t="array" ref="D47">BOILP(B48)-273.15</f>
        <v>275.55986738204945</v>
      </c>
    </row>
    <row r="48" spans="1:4" x14ac:dyDescent="0.25">
      <c r="A48" s="25" t="s">
        <v>116</v>
      </c>
      <c r="B48">
        <v>60</v>
      </c>
      <c r="C48" t="s">
        <v>120</v>
      </c>
      <c r="D48" t="s">
        <v>122</v>
      </c>
    </row>
    <row r="49" spans="1:4" x14ac:dyDescent="0.25">
      <c r="A49" t="s">
        <v>121</v>
      </c>
      <c r="C49" t="s">
        <v>113</v>
      </c>
      <c r="D49" cm="1">
        <f t="array" ref="D49">vapp(B47+273.15)</f>
        <v>39.775960190006934</v>
      </c>
    </row>
    <row r="50" spans="1:4" x14ac:dyDescent="0.25">
      <c r="A50" t="s">
        <v>130</v>
      </c>
      <c r="B50" cm="1">
        <f t="array" ref="B50">HSUB1(B47+273.15,B48)</f>
        <v>1085.7513377627508</v>
      </c>
      <c r="C50" t="s">
        <v>80</v>
      </c>
    </row>
    <row r="51" spans="1:4" x14ac:dyDescent="0.25">
      <c r="A51" t="s">
        <v>136</v>
      </c>
      <c r="B51">
        <f>(B50-0)/(((B47+273.15)+(0+273.15))/2)</f>
        <v>2.7269906762846938</v>
      </c>
    </row>
    <row r="52" spans="1:4" x14ac:dyDescent="0.25">
      <c r="A52" t="s">
        <v>137</v>
      </c>
      <c r="B52" cm="1">
        <f t="array" ref="B52">sf(B47)</f>
        <v>2.7955995676031242</v>
      </c>
    </row>
    <row r="54" spans="1:4" x14ac:dyDescent="0.25">
      <c r="A54" t="s">
        <v>138</v>
      </c>
    </row>
    <row r="55" spans="1:4" x14ac:dyDescent="0.25">
      <c r="A55" t="s">
        <v>119</v>
      </c>
      <c r="B55">
        <v>300</v>
      </c>
      <c r="C55" t="s">
        <v>113</v>
      </c>
      <c r="D55" cm="1">
        <f t="array" ref="D55">vapp(B55+273.15)</f>
        <v>85.916614341946101</v>
      </c>
    </row>
    <row r="56" spans="1:4" x14ac:dyDescent="0.25">
      <c r="A56" s="25" t="s">
        <v>116</v>
      </c>
      <c r="B56">
        <v>60</v>
      </c>
      <c r="C56" t="s">
        <v>120</v>
      </c>
      <c r="D56" t="s">
        <v>133</v>
      </c>
    </row>
    <row r="57" spans="1:4" x14ac:dyDescent="0.25">
      <c r="A57" t="s">
        <v>136</v>
      </c>
      <c r="B57" cm="1">
        <f t="array" ref="B57">(HSUB1(D57+273.15,B56)-0)/(((D57+273.15)+(0+273.15))/2)</f>
        <v>2.9536610419074711</v>
      </c>
      <c r="C57" t="s">
        <v>115</v>
      </c>
      <c r="D57" cm="1">
        <f t="array" ref="D57">BOILP(B56)-273.15</f>
        <v>275.55986738204945</v>
      </c>
    </row>
    <row r="58" spans="1:4" x14ac:dyDescent="0.25">
      <c r="A58" t="s">
        <v>139</v>
      </c>
      <c r="B58" cm="1">
        <f t="array" ref="B58">(HSUB2(D57+273.15,B56)-HSUB1(D57+273.15,B56))/(D57+273.15)</f>
        <v>2.8636356023383369</v>
      </c>
    </row>
    <row r="59" spans="1:4" x14ac:dyDescent="0.25">
      <c r="A59" t="s">
        <v>140</v>
      </c>
      <c r="B59">
        <f>B57+B58</f>
        <v>5.8172966442458076</v>
      </c>
    </row>
    <row r="60" spans="1:4" x14ac:dyDescent="0.25">
      <c r="A60" t="s">
        <v>141</v>
      </c>
    </row>
    <row r="61" spans="1:4" x14ac:dyDescent="0.25">
      <c r="A61" t="s">
        <v>136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56E35-85A6-4D6D-95DB-E0BF4FFFCAD7}">
  <dimension ref="A1:D16"/>
  <sheetViews>
    <sheetView tabSelected="1" workbookViewId="0">
      <selection activeCell="B11" sqref="B11"/>
    </sheetView>
  </sheetViews>
  <sheetFormatPr defaultRowHeight="13.2" x14ac:dyDescent="0.25"/>
  <cols>
    <col min="1" max="1" width="16.109375" bestFit="1" customWidth="1"/>
    <col min="2" max="2" width="23.77734375" customWidth="1"/>
    <col min="3" max="3" width="21.44140625" bestFit="1" customWidth="1"/>
  </cols>
  <sheetData>
    <row r="1" spans="1:4" x14ac:dyDescent="0.25">
      <c r="A1" t="s">
        <v>142</v>
      </c>
      <c r="B1">
        <v>2.7</v>
      </c>
      <c r="C1" t="s">
        <v>146</v>
      </c>
    </row>
    <row r="2" spans="1:4" x14ac:dyDescent="0.25">
      <c r="A2" t="s">
        <v>143</v>
      </c>
      <c r="B2">
        <v>1000</v>
      </c>
      <c r="C2" t="s">
        <v>147</v>
      </c>
    </row>
    <row r="3" spans="1:4" x14ac:dyDescent="0.25">
      <c r="A3" t="s">
        <v>144</v>
      </c>
      <c r="B3">
        <v>0.1</v>
      </c>
    </row>
    <row r="4" spans="1:4" x14ac:dyDescent="0.25">
      <c r="A4" t="s">
        <v>145</v>
      </c>
      <c r="B4">
        <v>1</v>
      </c>
      <c r="C4" t="s">
        <v>148</v>
      </c>
    </row>
    <row r="5" spans="1:4" x14ac:dyDescent="0.25">
      <c r="A5" t="s">
        <v>149</v>
      </c>
      <c r="B5">
        <v>2600</v>
      </c>
      <c r="C5" t="s">
        <v>150</v>
      </c>
    </row>
    <row r="6" spans="1:4" x14ac:dyDescent="0.25">
      <c r="B6" t="s">
        <v>151</v>
      </c>
      <c r="C6" t="s">
        <v>152</v>
      </c>
    </row>
    <row r="7" spans="1:4" x14ac:dyDescent="0.25">
      <c r="B7">
        <v>240</v>
      </c>
      <c r="C7">
        <v>180</v>
      </c>
    </row>
    <row r="8" spans="1:4" x14ac:dyDescent="0.25">
      <c r="A8" t="s">
        <v>153</v>
      </c>
      <c r="B8">
        <v>1</v>
      </c>
      <c r="C8">
        <v>1</v>
      </c>
    </row>
    <row r="9" spans="1:4" x14ac:dyDescent="0.25">
      <c r="A9" t="s">
        <v>154</v>
      </c>
      <c r="B9">
        <f>1-B8</f>
        <v>0</v>
      </c>
      <c r="C9">
        <f>1-C8</f>
        <v>0</v>
      </c>
    </row>
    <row r="10" spans="1:4" x14ac:dyDescent="0.25">
      <c r="A10" t="s">
        <v>155</v>
      </c>
      <c r="B10" s="26">
        <f>B1*1000000*B2*(1-B3)*B5*B4*B7</f>
        <v>1516320000000000</v>
      </c>
      <c r="C10" s="26">
        <f>B1*1000000*B2*(1-B3)*B5*B4*C7</f>
        <v>1137240000000000</v>
      </c>
      <c r="D10" t="s">
        <v>156</v>
      </c>
    </row>
    <row r="11" spans="1:4" x14ac:dyDescent="0.25">
      <c r="A11" t="s">
        <v>157</v>
      </c>
      <c r="B11" s="26" cm="1">
        <f t="array" ref="B11">B1*1000000*B2*B3*B8*1/VSUB1(B7+273.15,vapp(B7))</f>
        <v>218656145556.58212</v>
      </c>
      <c r="C11" s="26"/>
    </row>
    <row r="12" spans="1:4" x14ac:dyDescent="0.25">
      <c r="A12" t="s">
        <v>158</v>
      </c>
      <c r="B12" s="26"/>
      <c r="C12" s="26"/>
    </row>
    <row r="13" spans="1:4" x14ac:dyDescent="0.25">
      <c r="A13" t="s">
        <v>159</v>
      </c>
      <c r="B13" s="26"/>
      <c r="C13" s="26"/>
    </row>
    <row r="14" spans="1:4" x14ac:dyDescent="0.25">
      <c r="A14" t="s">
        <v>160</v>
      </c>
      <c r="B14">
        <f>B13-C13</f>
        <v>0</v>
      </c>
    </row>
    <row r="15" spans="1:4" x14ac:dyDescent="0.25">
      <c r="A15" t="s">
        <v>161</v>
      </c>
      <c r="B15">
        <v>0.25</v>
      </c>
    </row>
    <row r="16" spans="1:4" x14ac:dyDescent="0.25">
      <c r="A16" t="s">
        <v>162</v>
      </c>
      <c r="B16">
        <f>B14*B15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Usage</vt:lpstr>
      <vt:lpstr>Reference</vt:lpstr>
      <vt:lpstr>Latihan</vt:lpstr>
      <vt:lpstr>Reserve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Wasser</dc:title>
  <dc:subject>Stoffwerte fuer Wasser</dc:subject>
  <dc:creator>Bernhard Spang</dc:creator>
  <cp:lastModifiedBy>MUHAMMAD HAMMAM REZA</cp:lastModifiedBy>
  <dcterms:created xsi:type="dcterms:W3CDTF">2000-03-07T14:08:14Z</dcterms:created>
  <dcterms:modified xsi:type="dcterms:W3CDTF">2024-12-06T08:33:32Z</dcterms:modified>
</cp:coreProperties>
</file>