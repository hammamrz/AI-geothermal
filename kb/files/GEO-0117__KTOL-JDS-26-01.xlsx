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heckCompatibility="1"/>
  <mc:AlternateContent xmlns:mc="http://schemas.openxmlformats.org/markup-compatibility/2006">
    <mc:Choice Requires="x15">
      <x15ac:absPath xmlns:x15ac="http://schemas.microsoft.com/office/spreadsheetml/2010/11/ac" url="C:\Seminar\10-Casing Design\Contoh Soal\"/>
    </mc:Choice>
  </mc:AlternateContent>
  <xr:revisionPtr revIDLastSave="0" documentId="13_ncr:1_{E79C1AFA-35D0-4421-8024-4108CB0A65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in Casing with 50 bbl" sheetId="12" r:id="rId1"/>
    <sheet name="13-38 Ver with 40 bbl" sheetId="16" r:id="rId2"/>
    <sheet name="9-58 Ver with 40 bbl" sheetId="17" r:id="rId3"/>
    <sheet name="7 in Casing" sheetId="18" r:id="rId4"/>
    <sheet name="13-38 Ver with 40 bbl Deep" sheetId="1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2" l="1"/>
  <c r="AG16" i="16"/>
  <c r="G13" i="12"/>
  <c r="G12" i="12"/>
  <c r="BG19" i="12"/>
  <c r="BC16" i="12"/>
  <c r="Y41" i="17"/>
  <c r="G14" i="19"/>
  <c r="G31" i="19"/>
  <c r="G30" i="19"/>
  <c r="G33" i="19" s="1"/>
  <c r="G29" i="19"/>
  <c r="AG16" i="19"/>
  <c r="G15" i="19"/>
  <c r="F6" i="19"/>
  <c r="F5" i="19"/>
  <c r="F4" i="19"/>
  <c r="F3" i="19"/>
  <c r="G14" i="16"/>
  <c r="G15" i="17"/>
  <c r="G14" i="17"/>
  <c r="G15" i="16"/>
  <c r="G15" i="12"/>
  <c r="J15" i="12" s="1"/>
  <c r="G30" i="18"/>
  <c r="G33" i="18" s="1"/>
  <c r="G29" i="18"/>
  <c r="G15" i="18"/>
  <c r="J15" i="18" s="1"/>
  <c r="I13" i="18"/>
  <c r="G13" i="18" s="1"/>
  <c r="I12" i="18"/>
  <c r="G12" i="18" s="1"/>
  <c r="F6" i="18"/>
  <c r="F5" i="18"/>
  <c r="F4" i="18"/>
  <c r="F3" i="18"/>
  <c r="F4" i="17"/>
  <c r="F5" i="17"/>
  <c r="F6" i="17"/>
  <c r="F3" i="17"/>
  <c r="F5" i="16"/>
  <c r="F4" i="16"/>
  <c r="F6" i="16"/>
  <c r="F3" i="16"/>
  <c r="G30" i="17"/>
  <c r="G33" i="17" s="1"/>
  <c r="G29" i="17"/>
  <c r="G30" i="16"/>
  <c r="G33" i="16" s="1"/>
  <c r="G29" i="16"/>
  <c r="G30" i="12"/>
  <c r="G29" i="12"/>
  <c r="G33" i="12" s="1"/>
  <c r="G31" i="12" l="1"/>
  <c r="G35" i="12" s="1"/>
  <c r="G34" i="19"/>
  <c r="G40" i="19" s="1"/>
  <c r="F27" i="19"/>
  <c r="G43" i="19"/>
  <c r="J16" i="19"/>
  <c r="G35" i="19"/>
  <c r="G41" i="19" s="1"/>
  <c r="G44" i="19" s="1"/>
  <c r="J44" i="19" s="1"/>
  <c r="J15" i="19"/>
  <c r="G14" i="18"/>
  <c r="G34" i="18" s="1"/>
  <c r="G31" i="18"/>
  <c r="G43" i="18"/>
  <c r="F27" i="18"/>
  <c r="G40" i="18"/>
  <c r="J16" i="18"/>
  <c r="G34" i="17"/>
  <c r="G40" i="17" s="1"/>
  <c r="G31" i="17"/>
  <c r="F27" i="17"/>
  <c r="J15" i="17"/>
  <c r="G34" i="16"/>
  <c r="G40" i="16" s="1"/>
  <c r="G31" i="16"/>
  <c r="F27" i="16"/>
  <c r="J15" i="16"/>
  <c r="F27" i="12"/>
  <c r="G43" i="12" l="1"/>
  <c r="J43" i="12" s="1"/>
  <c r="BG13" i="12"/>
  <c r="G46" i="19"/>
  <c r="J43" i="19"/>
  <c r="G45" i="19"/>
  <c r="J27" i="19"/>
  <c r="G36" i="19"/>
  <c r="G37" i="19" s="1"/>
  <c r="J26" i="19"/>
  <c r="J25" i="19"/>
  <c r="J16" i="17"/>
  <c r="G34" i="12"/>
  <c r="G40" i="12" s="1"/>
  <c r="J16" i="12"/>
  <c r="J43" i="18"/>
  <c r="G35" i="18"/>
  <c r="G41" i="18" s="1"/>
  <c r="G44" i="18" s="1"/>
  <c r="J27" i="18"/>
  <c r="J26" i="18"/>
  <c r="J25" i="18"/>
  <c r="G43" i="17"/>
  <c r="G35" i="17"/>
  <c r="G41" i="17" s="1"/>
  <c r="G44" i="17" s="1"/>
  <c r="J27" i="17"/>
  <c r="J26" i="17"/>
  <c r="J25" i="17"/>
  <c r="G43" i="16"/>
  <c r="J16" i="16"/>
  <c r="G35" i="16"/>
  <c r="G41" i="16" s="1"/>
  <c r="G44" i="16" s="1"/>
  <c r="J27" i="16"/>
  <c r="J26" i="16"/>
  <c r="J25" i="16"/>
  <c r="G41" i="12"/>
  <c r="G44" i="12" s="1"/>
  <c r="J25" i="12" l="1"/>
  <c r="J26" i="12"/>
  <c r="J27" i="12"/>
  <c r="G36" i="18"/>
  <c r="G37" i="18" s="1"/>
  <c r="G45" i="18"/>
  <c r="J44" i="18"/>
  <c r="G46" i="18"/>
  <c r="G36" i="17"/>
  <c r="G37" i="17" s="1"/>
  <c r="J44" i="17"/>
  <c r="G45" i="17"/>
  <c r="G46" i="17"/>
  <c r="J43" i="17"/>
  <c r="G46" i="16"/>
  <c r="J43" i="16"/>
  <c r="G36" i="16"/>
  <c r="G37" i="16" s="1"/>
  <c r="J44" i="16"/>
  <c r="G45" i="16"/>
  <c r="J44" i="12"/>
  <c r="G45" i="12"/>
  <c r="G46" i="12"/>
  <c r="G36" i="12"/>
  <c r="G37" i="12" s="1"/>
</calcChain>
</file>

<file path=xl/sharedStrings.xml><?xml version="1.0" encoding="utf-8"?>
<sst xmlns="http://schemas.openxmlformats.org/spreadsheetml/2006/main" count="728" uniqueCount="138">
  <si>
    <t xml:space="preserve"> GASKICK </t>
  </si>
  <si>
    <t xml:space="preserve">Well Name:  </t>
  </si>
  <si>
    <t>Version 1.2 October '96</t>
  </si>
  <si>
    <t xml:space="preserve">Rig Type:  </t>
  </si>
  <si>
    <t xml:space="preserve">Date:  </t>
  </si>
  <si>
    <t xml:space="preserve">Drilling Engineer:  </t>
  </si>
  <si>
    <t xml:space="preserve">        Spread sheet to calculate required formation strength at casing shoe,</t>
  </si>
  <si>
    <t xml:space="preserve">        assuming a specified gas kick volume and a known formation pressure. </t>
  </si>
  <si>
    <t xml:space="preserve">A. INPUT: </t>
  </si>
  <si>
    <t>Total vertical depth (ft below derrick floor)</t>
  </si>
  <si>
    <t>TVD=</t>
  </si>
  <si>
    <t>feet</t>
  </si>
  <si>
    <t>Vertical depth of casing shoe (ft bdf)</t>
  </si>
  <si>
    <t>TVC=</t>
  </si>
  <si>
    <t xml:space="preserve">Pore pressure at section TD </t>
  </si>
  <si>
    <t>PP=</t>
  </si>
  <si>
    <t xml:space="preserve">psi      </t>
  </si>
  <si>
    <t>Mud weight at section TD</t>
  </si>
  <si>
    <t>MW=</t>
  </si>
  <si>
    <t>psi/ft =</t>
  </si>
  <si>
    <t>ppg</t>
  </si>
  <si>
    <t>Overbalance =</t>
  </si>
  <si>
    <t>psi</t>
  </si>
  <si>
    <t>Inclination at casing shoe</t>
  </si>
  <si>
    <t>INC shoe=</t>
  </si>
  <si>
    <t>deg</t>
  </si>
  <si>
    <t>Inclination at section TD</t>
  </si>
  <si>
    <t>INC td     =</t>
  </si>
  <si>
    <t>Hole size</t>
  </si>
  <si>
    <t>ID hole=</t>
  </si>
  <si>
    <t>inches</t>
  </si>
  <si>
    <t>Drillpipe OD</t>
  </si>
  <si>
    <t>OD dp   =</t>
  </si>
  <si>
    <t>Drill Collar Lenght</t>
  </si>
  <si>
    <t>L dc   =</t>
  </si>
  <si>
    <t>Drill Collar OD</t>
  </si>
  <si>
    <t>OD dc   =</t>
  </si>
  <si>
    <t>Kick volume</t>
  </si>
  <si>
    <t>KV=</t>
  </si>
  <si>
    <t>bbl</t>
  </si>
  <si>
    <t xml:space="preserve">Gas influx gradient at TD </t>
  </si>
  <si>
    <t>GG=</t>
  </si>
  <si>
    <t>psi/ft</t>
  </si>
  <si>
    <t>B. OUTPUT:</t>
  </si>
  <si>
    <t>Capacities:</t>
  </si>
  <si>
    <t>open hole/drillpipe</t>
  </si>
  <si>
    <t>C dp=</t>
  </si>
  <si>
    <t>bbl/ft</t>
  </si>
  <si>
    <t>open hole/drill collar</t>
  </si>
  <si>
    <t>C dc=</t>
  </si>
  <si>
    <t>open hole length ah</t>
  </si>
  <si>
    <t>OH ah=</t>
  </si>
  <si>
    <t>ft</t>
  </si>
  <si>
    <t xml:space="preserve">Vertical Kick Height: </t>
  </si>
  <si>
    <t>@ TD shutting in well</t>
  </si>
  <si>
    <t>VKH si     =</t>
  </si>
  <si>
    <t>BHP when shuting in well</t>
  </si>
  <si>
    <t>BHP si     =</t>
  </si>
  <si>
    <t>top gas</t>
  </si>
  <si>
    <t>@ csg shoe without expansion</t>
  </si>
  <si>
    <t>VKH shoe=</t>
  </si>
  <si>
    <t>expanded kick volume @ shoe</t>
  </si>
  <si>
    <t>KV exp  =</t>
  </si>
  <si>
    <t>@ csg shoe and expanded</t>
  </si>
  <si>
    <t>VKH exp  =</t>
  </si>
  <si>
    <t>Pressure at casing shoe:</t>
  </si>
  <si>
    <t>shutting in well</t>
  </si>
  <si>
    <t>PCS si   =</t>
  </si>
  <si>
    <t>with top gas @ csg shoe</t>
  </si>
  <si>
    <t>PCS exp=</t>
  </si>
  <si>
    <t>Required FSG @ csg shoe to shut-in well</t>
  </si>
  <si>
    <t>FSG si   =</t>
  </si>
  <si>
    <t>Required FSG with top gas @ csg shoe</t>
  </si>
  <si>
    <t>FSG exp=</t>
  </si>
  <si>
    <t>C. STANDARDS &amp; QUALIFICATIONS:</t>
  </si>
  <si>
    <t xml:space="preserve">1. Refer to the PCSB Well Design Manual for kick tolerance standards. </t>
  </si>
  <si>
    <t xml:space="preserve">2. Use 0.10 psi/ft gas gradient (GG), if actual value is not known. </t>
  </si>
  <si>
    <t>3. Calculations are not valid for the event VKH&gt;TVD-TVC!</t>
  </si>
  <si>
    <t>4. PCSsi is calculated assuming that the kick is in the open hole across the DC's.</t>
  </si>
  <si>
    <t xml:space="preserve">5. Programmed FSG should be at least 0.025 psi/ft (0.5 ppg)  </t>
  </si>
  <si>
    <t xml:space="preserve">    higher than programmed mud weight! Compare FSG with anticipated ECD!</t>
  </si>
  <si>
    <t>6. For reversal of Pore Pressure, compare required FSG</t>
  </si>
  <si>
    <t xml:space="preserve">    taking a kick from the zone with the highest pore pressure gradient!</t>
  </si>
  <si>
    <t xml:space="preserve">7. In the event total losses are likely, programmed FSG should withstand a fully  </t>
  </si>
  <si>
    <t xml:space="preserve">    evacuated open hole! Input KV&gt;open hole capacity to calculate required FSG.</t>
  </si>
  <si>
    <t xml:space="preserve">8. To calculate annular  pressure (PCS exp) when kick reaches surface, set TVC </t>
  </si>
  <si>
    <t xml:space="preserve">    and INCshoe to zero, and enter casing ID instead of hole size (ID hole). </t>
  </si>
  <si>
    <t xml:space="preserve">    </t>
  </si>
  <si>
    <t>D. THEORY &amp; CALCULATION METHOD:</t>
  </si>
  <si>
    <t>Assumptions:</t>
  </si>
  <si>
    <t>1. Single gas bubble.</t>
  </si>
  <si>
    <t xml:space="preserve">2. No temperature change as gas kick is circulated out. </t>
  </si>
  <si>
    <t xml:space="preserve">3. No change in compressibility factor as gas kick is circulated out. </t>
  </si>
  <si>
    <t xml:space="preserve">4. Hydrostatic Head of gas column is only effected by hole &amp; string geometry, </t>
  </si>
  <si>
    <t xml:space="preserve">    not due to gas expansion since the gas mass remains constant</t>
  </si>
  <si>
    <t>5. Circulation based on the "Driller's Method"</t>
  </si>
  <si>
    <t>6.The well trajectory is assumed to be a build-and-hold profile</t>
  </si>
  <si>
    <t>Formulae:</t>
  </si>
  <si>
    <t>Pressure at casing shoe with top of gas at casing shoe:</t>
  </si>
  <si>
    <t xml:space="preserve">1. PCS=PP-VKHshoe*GGshoe-(TVD-TVC-VKHshoe)*MW  </t>
  </si>
  <si>
    <t>Constant mass of gas bubble, i.e. hydrostatic head remains constant as long as the annular</t>
  </si>
  <si>
    <t xml:space="preserve">capacity remains constant, irrespective of whether the gas has expanded or not: </t>
  </si>
  <si>
    <t>2. GGbtm*VKHshoe(without expansion)=GGshoe*VKHshoe(expanded)</t>
  </si>
  <si>
    <t>Boyle's Law:</t>
  </si>
  <si>
    <t>3. KV*(PP-GGbtm*VKHbtm)=VOLshoe*PCS</t>
  </si>
  <si>
    <t>4. VKHshoe(with expan)= cos INC*(KV/CAPshoe)*(PP-GGbtm*VKHshoe(w/o expan))/PCS</t>
  </si>
  <si>
    <t>Combining 1, 2, 3, &amp; 4 gives the following quadratic equation:</t>
  </si>
  <si>
    <t>PCS^2-(PP-(TVD-TVC)*MW-VKHbtm*GGbtm)*PCS-</t>
  </si>
  <si>
    <t>-(PP-(VKHbtm*GGbtm)*MW*KV/CAPshoe*COS INC)=0</t>
  </si>
  <si>
    <t>Constants in quadratic equation:</t>
  </si>
  <si>
    <t>A=PP-(TVD-TVC)MW-VKHshoe*GGbtm</t>
  </si>
  <si>
    <t>B=(PP-VKHshoe*GGbtm)*MW*KV/CAPshoe*COS INC</t>
  </si>
  <si>
    <t>Pressure with top gas at casing shoe:</t>
  </si>
  <si>
    <t>PCS= A/2+{(A/2)^2+B}^0.5</t>
  </si>
  <si>
    <t>Required Formation Strength Gradient:</t>
  </si>
  <si>
    <t>FSG= PCS/TVC (vertical depth is with reference to derrick floor)</t>
  </si>
  <si>
    <t>For authorised Company use only</t>
  </si>
  <si>
    <t>For help contact DDR/31 at cc:mail PCSB 337041</t>
  </si>
  <si>
    <t>Copy Right Petronas Carigali, Kuala Lumpur, October 1996</t>
  </si>
  <si>
    <t>JDS-21</t>
  </si>
  <si>
    <t>JDS-21-01</t>
  </si>
  <si>
    <t>TBA</t>
  </si>
  <si>
    <t>20" Casing</t>
  </si>
  <si>
    <t>17-1/2" hole</t>
  </si>
  <si>
    <t>13-3/8" Casing</t>
  </si>
  <si>
    <t>12-1/4" hole</t>
  </si>
  <si>
    <t>9-5/8" Casing</t>
  </si>
  <si>
    <t>8.5" hole</t>
  </si>
  <si>
    <t>FG: 18 ppg</t>
  </si>
  <si>
    <t>MW 16.7</t>
  </si>
  <si>
    <t>Wellhead</t>
  </si>
  <si>
    <t>5000 psi</t>
  </si>
  <si>
    <t>5300 ft</t>
  </si>
  <si>
    <t>3252 psi</t>
  </si>
  <si>
    <t>0.1 psi/ft</t>
  </si>
  <si>
    <t>3000 psi</t>
  </si>
  <si>
    <t>FG at 2300 13.3 ppg</t>
  </si>
  <si>
    <t>FG = 13.3 ppg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</si>
</sst>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\-mmm\-yy_)"/>
    <numFmt numFmtId="165" formatCode="#,##0.000_);\(#,##0.000\)"/>
    <numFmt numFmtId="166" formatCode="#,##0.0_);\(#,##0.0\)"/>
    <numFmt numFmtId="167" formatCode="0_)"/>
    <numFmt numFmtId="168" formatCode="0.0_)"/>
    <numFmt numFmtId="169" formatCode="0.0000_)"/>
    <numFmt numFmtId="170" formatCode="0.000_)"/>
    <numFmt numFmtId="171" formatCode="[$-409]d\-mmm\-yy;@"/>
    <numFmt numFmtId="172" formatCode="#,##0&quot; m&quot;"/>
    <numFmt numFmtId="173" formatCode="[$-409]dd\-mmm\-yy;@"/>
  </numFmts>
  <fonts count="15">
    <font>
      <sz val="12"/>
      <name val="Arial"/>
    </font>
    <font>
      <sz val="12"/>
      <name val="Arial"/>
    </font>
    <font>
      <sz val="12"/>
      <color indexed="10"/>
      <name val="Arial"/>
    </font>
    <font>
      <b/>
      <sz val="18"/>
      <color indexed="17"/>
      <name val="Arial"/>
    </font>
    <font>
      <sz val="12"/>
      <color indexed="12"/>
      <name val="Arial"/>
    </font>
    <font>
      <b/>
      <sz val="12"/>
      <name val="Arial"/>
    </font>
    <font>
      <b/>
      <u/>
      <sz val="12"/>
      <name val="Arial"/>
    </font>
    <font>
      <sz val="12"/>
      <color indexed="11"/>
      <name val="Arial"/>
    </font>
    <font>
      <b/>
      <sz val="12"/>
      <color indexed="12"/>
      <name val="Arial"/>
    </font>
    <font>
      <b/>
      <sz val="12"/>
      <color indexed="10"/>
      <name val="Arial"/>
    </font>
    <font>
      <b/>
      <sz val="12"/>
      <color indexed="8"/>
      <name val="Arial"/>
    </font>
    <font>
      <sz val="12"/>
      <name val="Photina"/>
    </font>
    <font>
      <sz val="8"/>
      <name val="Arial"/>
    </font>
    <font>
      <sz val="12"/>
      <name val="Arial"/>
      <family val="2"/>
    </font>
    <font>
      <sz val="12"/>
      <color rgb="FFFFFF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66FF66"/>
        <bgColor indexed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2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dashDotDot">
        <color auto="1"/>
      </left>
      <right/>
      <top/>
      <bottom/>
      <diagonal/>
    </border>
    <border>
      <left/>
      <right style="dashDotDot">
        <color auto="1"/>
      </right>
      <top/>
      <bottom/>
      <diagonal/>
    </border>
    <border>
      <left style="dashDotDot">
        <color auto="1"/>
      </left>
      <right/>
      <top/>
      <bottom style="dashDotDot">
        <color auto="1"/>
      </bottom>
      <diagonal/>
    </border>
    <border>
      <left/>
      <right/>
      <top/>
      <bottom style="dashDotDot">
        <color auto="1"/>
      </bottom>
      <diagonal/>
    </border>
    <border>
      <left/>
      <right style="dashDotDot">
        <color auto="1"/>
      </right>
      <top/>
      <bottom style="dashDotDot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0" xfId="0" applyFont="1" applyAlignment="1">
      <alignment horizontal="right"/>
    </xf>
    <xf numFmtId="0" fontId="4" fillId="0" borderId="0" xfId="0" applyFont="1" applyProtection="1">
      <protection locked="0"/>
    </xf>
    <xf numFmtId="164" fontId="4" fillId="0" borderId="0" xfId="0" applyNumberFormat="1" applyFont="1" applyAlignment="1" applyProtection="1">
      <alignment horizontal="left"/>
      <protection locked="0"/>
    </xf>
    <xf numFmtId="164" fontId="4" fillId="0" borderId="0" xfId="0" applyNumberFormat="1" applyFont="1" applyProtection="1">
      <protection locked="0"/>
    </xf>
    <xf numFmtId="0" fontId="5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5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right"/>
    </xf>
    <xf numFmtId="37" fontId="8" fillId="0" borderId="0" xfId="0" applyNumberFormat="1" applyFont="1" applyAlignment="1" applyProtection="1">
      <alignment horizontal="center"/>
      <protection locked="0"/>
    </xf>
    <xf numFmtId="0" fontId="5" fillId="0" borderId="0" xfId="0" applyFont="1"/>
    <xf numFmtId="0" fontId="9" fillId="0" borderId="0" xfId="0" applyFont="1"/>
    <xf numFmtId="165" fontId="8" fillId="0" borderId="0" xfId="0" applyNumberFormat="1" applyFont="1" applyAlignment="1" applyProtection="1">
      <alignment horizontal="center"/>
      <protection locked="0"/>
    </xf>
    <xf numFmtId="167" fontId="10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8" fillId="0" borderId="0" xfId="0" applyFont="1" applyAlignment="1" applyProtection="1">
      <alignment horizontal="center"/>
      <protection locked="0"/>
    </xf>
    <xf numFmtId="168" fontId="8" fillId="0" borderId="0" xfId="0" applyNumberFormat="1" applyFont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39" fontId="8" fillId="0" borderId="0" xfId="0" applyNumberFormat="1" applyFont="1" applyAlignment="1" applyProtection="1">
      <alignment horizontal="center"/>
      <protection locked="0"/>
    </xf>
    <xf numFmtId="0" fontId="11" fillId="0" borderId="0" xfId="0" applyFont="1"/>
    <xf numFmtId="37" fontId="9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Protection="1">
      <protection locked="0"/>
    </xf>
    <xf numFmtId="169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7" fontId="5" fillId="0" borderId="0" xfId="0" applyNumberFormat="1" applyFont="1" applyAlignment="1">
      <alignment horizontal="center"/>
    </xf>
    <xf numFmtId="37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0" fontId="5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right"/>
    </xf>
    <xf numFmtId="165" fontId="10" fillId="2" borderId="0" xfId="0" applyNumberFormat="1" applyFont="1" applyFill="1" applyAlignment="1">
      <alignment horizontal="center"/>
    </xf>
    <xf numFmtId="0" fontId="10" fillId="2" borderId="0" xfId="0" applyFont="1" applyFill="1"/>
    <xf numFmtId="165" fontId="2" fillId="0" borderId="0" xfId="0" applyNumberFormat="1" applyFont="1" applyAlignment="1">
      <alignment horizontal="center"/>
    </xf>
    <xf numFmtId="166" fontId="5" fillId="0" borderId="0" xfId="0" applyNumberFormat="1" applyFont="1"/>
    <xf numFmtId="165" fontId="5" fillId="0" borderId="0" xfId="0" applyNumberFormat="1" applyFont="1" applyAlignment="1">
      <alignment horizontal="center"/>
    </xf>
    <xf numFmtId="0" fontId="5" fillId="0" borderId="9" xfId="0" applyFont="1" applyBorder="1"/>
    <xf numFmtId="0" fontId="1" fillId="0" borderId="10" xfId="0" applyFont="1" applyBorder="1"/>
    <xf numFmtId="172" fontId="8" fillId="3" borderId="0" xfId="0" applyNumberFormat="1" applyFont="1" applyFill="1" applyAlignment="1" applyProtection="1">
      <alignment horizontal="center"/>
      <protection locked="0"/>
    </xf>
    <xf numFmtId="37" fontId="8" fillId="4" borderId="0" xfId="0" applyNumberFormat="1" applyFont="1" applyFill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/>
      <protection locked="0"/>
    </xf>
    <xf numFmtId="168" fontId="8" fillId="4" borderId="0" xfId="0" applyNumberFormat="1" applyFont="1" applyFill="1" applyAlignment="1" applyProtection="1">
      <alignment horizontal="center"/>
      <protection locked="0"/>
    </xf>
    <xf numFmtId="167" fontId="8" fillId="4" borderId="0" xfId="0" applyNumberFormat="1" applyFont="1" applyFill="1" applyAlignment="1" applyProtection="1">
      <alignment horizontal="center"/>
      <protection locked="0"/>
    </xf>
    <xf numFmtId="39" fontId="8" fillId="4" borderId="0" xfId="0" applyNumberFormat="1" applyFont="1" applyFill="1" applyAlignment="1" applyProtection="1">
      <alignment horizontal="center"/>
      <protection locked="0"/>
    </xf>
    <xf numFmtId="166" fontId="5" fillId="4" borderId="0" xfId="0" applyNumberFormat="1" applyFont="1" applyFill="1" applyAlignment="1">
      <alignment horizontal="center"/>
    </xf>
    <xf numFmtId="168" fontId="5" fillId="5" borderId="0" xfId="0" applyNumberFormat="1" applyFont="1" applyFill="1"/>
    <xf numFmtId="166" fontId="10" fillId="6" borderId="0" xfId="0" applyNumberFormat="1" applyFont="1" applyFill="1"/>
    <xf numFmtId="173" fontId="4" fillId="0" borderId="0" xfId="0" applyNumberFormat="1" applyFont="1" applyProtection="1">
      <protection locked="0"/>
    </xf>
    <xf numFmtId="171" fontId="4" fillId="0" borderId="0" xfId="0" applyNumberFormat="1" applyFont="1" applyProtection="1">
      <protection locked="0"/>
    </xf>
    <xf numFmtId="0" fontId="0" fillId="0" borderId="12" xfId="0" applyBorder="1"/>
    <xf numFmtId="0" fontId="0" fillId="0" borderId="11" xfId="0" applyBorder="1"/>
    <xf numFmtId="0" fontId="0" fillId="0" borderId="19" xfId="0" applyBorder="1"/>
    <xf numFmtId="0" fontId="0" fillId="0" borderId="18" xfId="0" applyBorder="1"/>
    <xf numFmtId="0" fontId="0" fillId="7" borderId="0" xfId="0" applyFill="1"/>
    <xf numFmtId="0" fontId="0" fillId="7" borderId="13" xfId="0" applyFill="1" applyBorder="1"/>
    <xf numFmtId="0" fontId="0" fillId="7" borderId="14" xfId="0" applyFill="1" applyBorder="1"/>
    <xf numFmtId="0" fontId="13" fillId="0" borderId="0" xfId="0" applyFont="1"/>
    <xf numFmtId="0" fontId="0" fillId="8" borderId="12" xfId="0" applyFill="1" applyBorder="1"/>
    <xf numFmtId="0" fontId="0" fillId="8" borderId="11" xfId="0" applyFill="1" applyBorder="1"/>
    <xf numFmtId="0" fontId="0" fillId="8" borderId="19" xfId="0" applyFill="1" applyBorder="1"/>
    <xf numFmtId="0" fontId="0" fillId="8" borderId="18" xfId="0" applyFill="1" applyBorder="1"/>
    <xf numFmtId="0" fontId="0" fillId="9" borderId="21" xfId="0" applyFill="1" applyBorder="1"/>
    <xf numFmtId="0" fontId="0" fillId="9" borderId="22" xfId="0" applyFill="1" applyBorder="1"/>
    <xf numFmtId="0" fontId="0" fillId="9" borderId="24" xfId="0" applyFill="1" applyBorder="1"/>
    <xf numFmtId="0" fontId="0" fillId="9" borderId="25" xfId="0" applyFill="1" applyBorder="1"/>
    <xf numFmtId="0" fontId="14" fillId="9" borderId="20" xfId="0" applyFont="1" applyFill="1" applyBorder="1"/>
    <xf numFmtId="0" fontId="14" fillId="9" borderId="23" xfId="0" applyFont="1" applyFill="1" applyBorder="1"/>
    <xf numFmtId="0" fontId="13" fillId="0" borderId="0" xfId="0" applyFont="1" applyAlignment="1">
      <alignment horizontal="right"/>
    </xf>
    <xf numFmtId="0" fontId="0" fillId="4" borderId="0" xfId="0" applyFill="1"/>
    <xf numFmtId="0" fontId="0" fillId="4" borderId="13" xfId="0" applyFill="1" applyBorder="1"/>
    <xf numFmtId="0" fontId="0" fillId="4" borderId="14" xfId="0" applyFill="1" applyBorder="1"/>
    <xf numFmtId="0" fontId="13" fillId="4" borderId="0" xfId="0" applyFont="1" applyFill="1"/>
    <xf numFmtId="37" fontId="0" fillId="4" borderId="26" xfId="0" applyNumberFormat="1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37" fontId="0" fillId="7" borderId="15" xfId="0" applyNumberFormat="1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3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7" fontId="13" fillId="4" borderId="15" xfId="0" applyNumberFormat="1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141111</xdr:colOff>
      <xdr:row>24</xdr:row>
      <xdr:rowOff>20638</xdr:rowOff>
    </xdr:from>
    <xdr:to>
      <xdr:col>50</xdr:col>
      <xdr:colOff>142877</xdr:colOff>
      <xdr:row>37</xdr:row>
      <xdr:rowOff>98313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47FFC15-0F3C-4100-8DAC-E47D103BC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9861" y="4888971"/>
          <a:ext cx="3899960" cy="2573578"/>
        </a:xfrm>
        <a:prstGeom prst="rect">
          <a:avLst/>
        </a:prstGeom>
      </xdr:spPr>
    </xdr:pic>
    <xdr:clientData/>
  </xdr:twoCellAnchor>
  <xdr:twoCellAnchor editAs="oneCell">
    <xdr:from>
      <xdr:col>14</xdr:col>
      <xdr:colOff>158750</xdr:colOff>
      <xdr:row>6</xdr:row>
      <xdr:rowOff>114653</xdr:rowOff>
    </xdr:from>
    <xdr:to>
      <xdr:col>32</xdr:col>
      <xdr:colOff>42917</xdr:colOff>
      <xdr:row>30</xdr:row>
      <xdr:rowOff>131534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683264-F89B-4636-BB44-98382C14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9514" y="1446389"/>
          <a:ext cx="4002847" cy="4691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8820</xdr:colOff>
      <xdr:row>23</xdr:row>
      <xdr:rowOff>135291</xdr:rowOff>
    </xdr:from>
    <xdr:to>
      <xdr:col>49</xdr:col>
      <xdr:colOff>10585</xdr:colOff>
      <xdr:row>37</xdr:row>
      <xdr:rowOff>18939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95F74-B320-44C6-8591-A038E93B9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3570" y="4846991"/>
          <a:ext cx="3887965" cy="2614148"/>
        </a:xfrm>
        <a:prstGeom prst="rect">
          <a:avLst/>
        </a:prstGeom>
      </xdr:spPr>
    </xdr:pic>
    <xdr:clientData/>
  </xdr:twoCellAnchor>
  <xdr:twoCellAnchor editAs="oneCell">
    <xdr:from>
      <xdr:col>13</xdr:col>
      <xdr:colOff>150133</xdr:colOff>
      <xdr:row>9</xdr:row>
      <xdr:rowOff>40968</xdr:rowOff>
    </xdr:from>
    <xdr:to>
      <xdr:col>31</xdr:col>
      <xdr:colOff>97174</xdr:colOff>
      <xdr:row>33</xdr:row>
      <xdr:rowOff>61833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6512AF-5B77-4793-88A7-DB0216521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5617" y="1986936"/>
          <a:ext cx="4002847" cy="46911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8820</xdr:colOff>
      <xdr:row>23</xdr:row>
      <xdr:rowOff>135291</xdr:rowOff>
    </xdr:from>
    <xdr:to>
      <xdr:col>48</xdr:col>
      <xdr:colOff>10585</xdr:colOff>
      <xdr:row>37</xdr:row>
      <xdr:rowOff>18939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251FC-5F1C-4815-BC60-410906086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3570" y="4846991"/>
          <a:ext cx="3887965" cy="2614148"/>
        </a:xfrm>
        <a:prstGeom prst="rect">
          <a:avLst/>
        </a:prstGeom>
      </xdr:spPr>
    </xdr:pic>
    <xdr:clientData/>
  </xdr:twoCellAnchor>
  <xdr:twoCellAnchor editAs="oneCell">
    <xdr:from>
      <xdr:col>15</xdr:col>
      <xdr:colOff>15165</xdr:colOff>
      <xdr:row>10</xdr:row>
      <xdr:rowOff>0</xdr:rowOff>
    </xdr:from>
    <xdr:to>
      <xdr:col>29</xdr:col>
      <xdr:colOff>136637</xdr:colOff>
      <xdr:row>30</xdr:row>
      <xdr:rowOff>184815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FDAE3F-7063-42F9-841C-AC7D3D25A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2315" y="2139950"/>
          <a:ext cx="3429075" cy="40964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8820</xdr:colOff>
      <xdr:row>23</xdr:row>
      <xdr:rowOff>135291</xdr:rowOff>
    </xdr:from>
    <xdr:to>
      <xdr:col>49</xdr:col>
      <xdr:colOff>10585</xdr:colOff>
      <xdr:row>37</xdr:row>
      <xdr:rowOff>18939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448ECC-50A2-481D-B712-8D232323C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3570" y="4846991"/>
          <a:ext cx="3887965" cy="2614148"/>
        </a:xfrm>
        <a:prstGeom prst="rect">
          <a:avLst/>
        </a:prstGeom>
      </xdr:spPr>
    </xdr:pic>
    <xdr:clientData/>
  </xdr:twoCellAnchor>
  <xdr:twoCellAnchor editAs="oneCell">
    <xdr:from>
      <xdr:col>13</xdr:col>
      <xdr:colOff>150133</xdr:colOff>
      <xdr:row>9</xdr:row>
      <xdr:rowOff>40968</xdr:rowOff>
    </xdr:from>
    <xdr:to>
      <xdr:col>31</xdr:col>
      <xdr:colOff>97174</xdr:colOff>
      <xdr:row>33</xdr:row>
      <xdr:rowOff>61833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19076B-8241-4740-8F72-2999B9EBA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7833" y="1984068"/>
          <a:ext cx="4055491" cy="4732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"/>
  <sheetViews>
    <sheetView tabSelected="1" topLeftCell="A10" zoomScale="72" zoomScaleNormal="72" workbookViewId="0">
      <selection activeCell="J20" sqref="J20"/>
    </sheetView>
  </sheetViews>
  <sheetFormatPr defaultColWidth="2.765625" defaultRowHeight="15.5"/>
  <cols>
    <col min="1" max="1" width="1.765625" customWidth="1"/>
    <col min="2" max="2" width="6.765625" customWidth="1"/>
    <col min="3" max="4" width="8.765625" customWidth="1"/>
    <col min="5" max="5" width="12.765625" customWidth="1"/>
    <col min="6" max="6" width="10.23046875" customWidth="1"/>
    <col min="7" max="7" width="7.765625" customWidth="1"/>
    <col min="8" max="8" width="7.53515625" customWidth="1"/>
    <col min="9" max="9" width="8.07421875" customWidth="1"/>
    <col min="10" max="10" width="6.765625" customWidth="1"/>
    <col min="11" max="11" width="0" hidden="1" customWidth="1"/>
    <col min="16" max="16" width="2.69140625" customWidth="1"/>
  </cols>
  <sheetData>
    <row r="1" spans="1:63" ht="12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63" ht="12" customHeight="1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63" ht="21" customHeight="1" thickBot="1">
      <c r="A3" s="1"/>
      <c r="B3" s="3" t="s">
        <v>0</v>
      </c>
      <c r="C3" s="4"/>
      <c r="D3" s="1"/>
      <c r="E3" s="5" t="s">
        <v>1</v>
      </c>
      <c r="F3" s="6" t="s">
        <v>120</v>
      </c>
      <c r="G3" s="6"/>
      <c r="H3" s="6"/>
      <c r="I3" s="1"/>
      <c r="J3" s="1"/>
      <c r="K3" s="1"/>
      <c r="L3" s="1"/>
      <c r="M3" s="1"/>
      <c r="N3" s="1"/>
    </row>
    <row r="4" spans="1:63" ht="19" customHeight="1">
      <c r="A4" s="1"/>
      <c r="B4" s="1" t="s">
        <v>2</v>
      </c>
      <c r="C4" s="1"/>
      <c r="D4" s="1"/>
      <c r="E4" s="5" t="s">
        <v>3</v>
      </c>
      <c r="F4" s="6" t="s">
        <v>121</v>
      </c>
      <c r="G4" s="6"/>
      <c r="H4" s="6"/>
      <c r="I4" s="1"/>
      <c r="J4" s="1"/>
      <c r="K4" s="1"/>
      <c r="L4" s="1"/>
      <c r="M4" s="1"/>
      <c r="N4" s="1"/>
    </row>
    <row r="5" spans="1:63" ht="21" customHeight="1">
      <c r="A5" s="1"/>
      <c r="B5" s="1"/>
      <c r="C5" s="1"/>
      <c r="D5" s="1"/>
      <c r="E5" s="5" t="s">
        <v>4</v>
      </c>
      <c r="F5" s="7">
        <v>44487</v>
      </c>
      <c r="G5" s="6"/>
      <c r="H5" s="6"/>
      <c r="I5" s="1"/>
      <c r="J5" s="1"/>
      <c r="K5" s="1"/>
      <c r="L5" s="1"/>
      <c r="M5" s="1"/>
      <c r="N5" s="1"/>
    </row>
    <row r="6" spans="1:63" ht="21" customHeight="1">
      <c r="A6" s="1"/>
      <c r="B6" s="1"/>
      <c r="C6" s="1"/>
      <c r="D6" s="1"/>
      <c r="E6" s="5" t="s">
        <v>5</v>
      </c>
      <c r="F6" s="7" t="s">
        <v>119</v>
      </c>
      <c r="G6" s="6"/>
      <c r="H6" s="6"/>
      <c r="I6" s="1"/>
      <c r="J6" s="1"/>
      <c r="K6" s="1"/>
      <c r="L6" s="1"/>
      <c r="M6" s="1"/>
      <c r="N6" s="1"/>
    </row>
    <row r="7" spans="1:63" ht="16" customHeight="1">
      <c r="A7" s="1"/>
      <c r="B7" s="1"/>
      <c r="C7" s="1"/>
      <c r="D7" s="1"/>
      <c r="E7" s="5"/>
      <c r="F7" s="8"/>
      <c r="G7" s="6"/>
      <c r="H7" s="6"/>
      <c r="I7" s="1"/>
      <c r="J7" s="1"/>
      <c r="K7" s="1"/>
      <c r="L7" s="1"/>
      <c r="M7" s="1"/>
      <c r="N7" s="1"/>
    </row>
    <row r="8" spans="1:63">
      <c r="A8" s="1"/>
      <c r="B8" s="9" t="s">
        <v>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63">
      <c r="A9" s="1"/>
      <c r="B9" s="12" t="s">
        <v>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63" ht="16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63">
      <c r="A11" s="1"/>
      <c r="B11" s="15" t="s">
        <v>8</v>
      </c>
      <c r="C11" s="1"/>
      <c r="D11" s="1"/>
      <c r="E11" s="1"/>
      <c r="F11" s="1"/>
      <c r="G11" s="16"/>
      <c r="H11" s="16"/>
      <c r="I11" s="1"/>
      <c r="J11" s="1"/>
      <c r="K11" s="1"/>
      <c r="L11" s="1"/>
      <c r="M11" s="1"/>
      <c r="N11" s="1"/>
      <c r="AJ11" s="74" t="s">
        <v>130</v>
      </c>
      <c r="AK11" s="70"/>
      <c r="AL11" s="70"/>
      <c r="AM11" s="70"/>
      <c r="AN11" s="71"/>
      <c r="BF11" s="74" t="s">
        <v>130</v>
      </c>
      <c r="BG11" s="70"/>
      <c r="BH11" s="70"/>
      <c r="BI11" s="70"/>
      <c r="BJ11" s="71"/>
    </row>
    <row r="12" spans="1:63" ht="16" thickBot="1">
      <c r="A12" s="1"/>
      <c r="B12" s="1" t="s">
        <v>9</v>
      </c>
      <c r="C12" s="1"/>
      <c r="D12" s="1"/>
      <c r="E12" s="1"/>
      <c r="F12" s="17" t="s">
        <v>10</v>
      </c>
      <c r="G12" s="18">
        <f>AK23</f>
        <v>5300</v>
      </c>
      <c r="H12" s="19" t="s">
        <v>11</v>
      </c>
      <c r="I12" s="47"/>
      <c r="K12" s="1"/>
      <c r="L12" s="1"/>
      <c r="M12" s="1"/>
      <c r="N12" s="1"/>
      <c r="AJ12" s="75" t="s">
        <v>131</v>
      </c>
      <c r="AK12" s="72"/>
      <c r="AL12" s="72"/>
      <c r="AM12" s="72"/>
      <c r="AN12" s="73"/>
      <c r="BF12" s="75" t="s">
        <v>135</v>
      </c>
      <c r="BG12" s="72"/>
      <c r="BH12" s="72"/>
      <c r="BI12" s="72"/>
      <c r="BJ12" s="73"/>
    </row>
    <row r="13" spans="1:63">
      <c r="A13" s="1"/>
      <c r="B13" s="1" t="s">
        <v>12</v>
      </c>
      <c r="C13" s="1"/>
      <c r="D13" s="1"/>
      <c r="E13" s="1"/>
      <c r="F13" s="17" t="s">
        <v>13</v>
      </c>
      <c r="G13" s="18">
        <f>AG16</f>
        <v>2300</v>
      </c>
      <c r="H13" s="19" t="s">
        <v>11</v>
      </c>
      <c r="I13" s="47"/>
      <c r="K13" s="1"/>
      <c r="L13" s="1"/>
      <c r="M13" s="1"/>
      <c r="N13" s="1"/>
      <c r="AJ13" s="58"/>
      <c r="AK13" s="62"/>
      <c r="AL13" s="62"/>
      <c r="AM13" s="62"/>
      <c r="AN13" s="60"/>
      <c r="BF13" s="58"/>
      <c r="BG13" s="81">
        <f>G14-BG19</f>
        <v>2722.0800000000004</v>
      </c>
      <c r="BH13" s="82"/>
      <c r="BI13" s="83"/>
      <c r="BJ13" s="60"/>
    </row>
    <row r="14" spans="1:63">
      <c r="A14" s="1"/>
      <c r="B14" s="1" t="s">
        <v>14</v>
      </c>
      <c r="C14" s="1"/>
      <c r="D14" s="1"/>
      <c r="E14" s="1"/>
      <c r="F14" s="17" t="s">
        <v>15</v>
      </c>
      <c r="G14" s="18">
        <f>11.8*0.052*G12</f>
        <v>3252.0800000000004</v>
      </c>
      <c r="H14" s="18"/>
      <c r="I14" s="19" t="s">
        <v>16</v>
      </c>
      <c r="J14" s="20"/>
      <c r="K14" s="19"/>
      <c r="L14" s="1"/>
      <c r="M14" s="1"/>
      <c r="N14" s="1"/>
      <c r="AJ14" s="58"/>
      <c r="AK14" s="62"/>
      <c r="AL14" s="62"/>
      <c r="AM14" s="62"/>
      <c r="AN14" s="60"/>
      <c r="BF14" s="58"/>
      <c r="BG14" s="77"/>
      <c r="BH14" s="77"/>
      <c r="BI14" s="77"/>
      <c r="BJ14" s="60"/>
    </row>
    <row r="15" spans="1:63">
      <c r="A15" s="1"/>
      <c r="B15" s="1" t="s">
        <v>17</v>
      </c>
      <c r="C15" s="1"/>
      <c r="D15" s="1"/>
      <c r="E15" s="1"/>
      <c r="F15" s="17" t="s">
        <v>18</v>
      </c>
      <c r="G15" s="21">
        <f>12.3*0.052</f>
        <v>0.63960000000000006</v>
      </c>
      <c r="H15" s="21"/>
      <c r="I15" s="19" t="s">
        <v>19</v>
      </c>
      <c r="J15" s="53">
        <f>G15*19.25</f>
        <v>12.3123</v>
      </c>
      <c r="K15" s="19" t="s">
        <v>20</v>
      </c>
      <c r="L15" s="19" t="s">
        <v>20</v>
      </c>
      <c r="M15" s="1"/>
      <c r="N15" s="1"/>
      <c r="AJ15" s="58"/>
      <c r="AK15" s="62"/>
      <c r="AL15" s="62"/>
      <c r="AM15" s="62"/>
      <c r="AN15" s="60"/>
      <c r="BF15" s="58"/>
      <c r="BG15" s="77"/>
      <c r="BH15" s="77"/>
      <c r="BI15" s="77"/>
      <c r="BJ15" s="60"/>
    </row>
    <row r="16" spans="1:63" ht="16" thickBot="1">
      <c r="A16" s="1"/>
      <c r="B16" s="1"/>
      <c r="C16" s="1"/>
      <c r="D16" s="1"/>
      <c r="E16" s="1"/>
      <c r="F16" s="17"/>
      <c r="G16" s="1"/>
      <c r="H16" s="1"/>
      <c r="I16" s="17" t="s">
        <v>21</v>
      </c>
      <c r="J16" s="22">
        <f>G15*G12-G14</f>
        <v>137.79999999999973</v>
      </c>
      <c r="K16" s="1"/>
      <c r="L16" s="19" t="s">
        <v>22</v>
      </c>
      <c r="M16" s="1"/>
      <c r="N16" s="1"/>
      <c r="AG16" s="87">
        <v>2300</v>
      </c>
      <c r="AH16" s="88"/>
      <c r="AI16" s="88"/>
      <c r="AJ16" s="59"/>
      <c r="AK16" s="62"/>
      <c r="AL16" s="62"/>
      <c r="AM16" s="62"/>
      <c r="AN16" s="61"/>
      <c r="AO16" s="65" t="s">
        <v>122</v>
      </c>
      <c r="AS16" t="s">
        <v>137</v>
      </c>
      <c r="BC16" s="87">
        <f>AC13</f>
        <v>0</v>
      </c>
      <c r="BD16" s="88"/>
      <c r="BE16" s="88"/>
      <c r="BF16" s="59"/>
      <c r="BG16" s="77"/>
      <c r="BH16" s="77"/>
      <c r="BI16" s="77"/>
      <c r="BJ16" s="61"/>
      <c r="BK16" s="65" t="s">
        <v>122</v>
      </c>
    </row>
    <row r="17" spans="1:62" ht="16" thickTop="1">
      <c r="A17" s="1"/>
      <c r="B17" s="1" t="s">
        <v>23</v>
      </c>
      <c r="C17" s="1"/>
      <c r="D17" s="1"/>
      <c r="E17" s="1"/>
      <c r="F17" s="17" t="s">
        <v>24</v>
      </c>
      <c r="G17" s="18">
        <v>0</v>
      </c>
      <c r="H17" s="18"/>
      <c r="I17" s="19" t="s">
        <v>25</v>
      </c>
      <c r="J17" s="1"/>
      <c r="K17" s="1"/>
      <c r="L17" s="1"/>
      <c r="M17" s="1"/>
      <c r="N17" s="1"/>
      <c r="AK17" s="63"/>
      <c r="AL17" s="62"/>
      <c r="AM17" s="64"/>
      <c r="BG17" s="78"/>
      <c r="BH17" s="77"/>
      <c r="BI17" s="79"/>
    </row>
    <row r="18" spans="1:62">
      <c r="A18" s="1"/>
      <c r="B18" s="1" t="s">
        <v>26</v>
      </c>
      <c r="C18" s="1"/>
      <c r="D18" s="1"/>
      <c r="E18" s="1"/>
      <c r="F18" s="17" t="s">
        <v>27</v>
      </c>
      <c r="G18" s="18">
        <v>0</v>
      </c>
      <c r="H18" s="18"/>
      <c r="I18" s="19" t="s">
        <v>25</v>
      </c>
      <c r="J18" s="1"/>
      <c r="K18" s="23"/>
      <c r="L18" s="1"/>
      <c r="M18" s="1"/>
      <c r="N18" s="1"/>
      <c r="AK18" s="63"/>
      <c r="AL18" s="62"/>
      <c r="AM18" s="64"/>
      <c r="BG18" s="78"/>
      <c r="BH18" s="80" t="s">
        <v>134</v>
      </c>
      <c r="BI18" s="79"/>
    </row>
    <row r="19" spans="1:6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AK19" s="63"/>
      <c r="AL19" s="62"/>
      <c r="AM19" s="64"/>
      <c r="AN19" s="65" t="s">
        <v>123</v>
      </c>
      <c r="BG19" s="92">
        <f>0.1*5300</f>
        <v>530</v>
      </c>
      <c r="BH19" s="93"/>
      <c r="BI19" s="94"/>
      <c r="BJ19" s="65" t="s">
        <v>123</v>
      </c>
    </row>
    <row r="20" spans="1:62">
      <c r="A20" s="1"/>
      <c r="B20" s="1" t="s">
        <v>28</v>
      </c>
      <c r="C20" s="1"/>
      <c r="D20" s="1"/>
      <c r="E20" s="1"/>
      <c r="F20" s="17" t="s">
        <v>29</v>
      </c>
      <c r="G20" s="49">
        <v>17.5</v>
      </c>
      <c r="H20" s="24"/>
      <c r="I20" s="19" t="s">
        <v>30</v>
      </c>
      <c r="J20" s="1"/>
      <c r="K20" s="1"/>
      <c r="L20" s="1"/>
      <c r="M20" s="1"/>
      <c r="N20" s="1"/>
      <c r="AK20" s="63"/>
      <c r="AL20" s="62"/>
      <c r="AM20" s="64"/>
      <c r="BG20" s="78"/>
      <c r="BH20" s="77"/>
      <c r="BI20" s="79"/>
    </row>
    <row r="21" spans="1:62">
      <c r="A21" s="1"/>
      <c r="B21" s="1" t="s">
        <v>31</v>
      </c>
      <c r="C21" s="1"/>
      <c r="D21" s="1"/>
      <c r="E21" s="1"/>
      <c r="F21" s="17" t="s">
        <v>32</v>
      </c>
      <c r="G21" s="50">
        <v>5</v>
      </c>
      <c r="H21" s="25"/>
      <c r="I21" s="19" t="s">
        <v>30</v>
      </c>
      <c r="J21" s="1"/>
      <c r="K21" s="1"/>
      <c r="L21" s="1"/>
      <c r="M21" s="1"/>
      <c r="N21" s="1"/>
      <c r="AK21" s="63"/>
      <c r="AL21" s="62"/>
      <c r="AM21" s="64"/>
      <c r="BG21" s="78"/>
      <c r="BH21" s="77"/>
      <c r="BI21" s="79"/>
    </row>
    <row r="22" spans="1:62">
      <c r="A22" s="1"/>
      <c r="B22" s="1" t="s">
        <v>33</v>
      </c>
      <c r="C22" s="1"/>
      <c r="D22" s="1"/>
      <c r="E22" s="1"/>
      <c r="F22" s="17" t="s">
        <v>34</v>
      </c>
      <c r="G22" s="51">
        <v>120</v>
      </c>
      <c r="H22" s="26"/>
      <c r="I22" s="19" t="s">
        <v>11</v>
      </c>
      <c r="J22" s="1"/>
      <c r="K22" s="1"/>
      <c r="L22" s="1"/>
      <c r="M22" s="1"/>
      <c r="N22" s="1"/>
      <c r="AK22" s="63"/>
      <c r="AL22" s="62"/>
      <c r="AM22" s="64"/>
      <c r="BG22" s="78"/>
      <c r="BH22" s="77"/>
      <c r="BI22" s="79"/>
    </row>
    <row r="23" spans="1:62">
      <c r="A23" s="1"/>
      <c r="B23" s="1" t="s">
        <v>35</v>
      </c>
      <c r="C23" s="1"/>
      <c r="D23" s="1"/>
      <c r="E23" s="1"/>
      <c r="F23" s="17" t="s">
        <v>36</v>
      </c>
      <c r="G23" s="52">
        <v>8.5</v>
      </c>
      <c r="H23" s="27"/>
      <c r="I23" s="19" t="s">
        <v>30</v>
      </c>
      <c r="J23" s="1"/>
      <c r="K23" s="1"/>
      <c r="L23" s="1"/>
      <c r="M23" s="1"/>
      <c r="N23" s="1"/>
      <c r="AK23" s="84">
        <v>5300</v>
      </c>
      <c r="AL23" s="85"/>
      <c r="AM23" s="86"/>
      <c r="AN23" s="1" t="s">
        <v>9</v>
      </c>
      <c r="BF23" s="76" t="s">
        <v>132</v>
      </c>
      <c r="BG23" s="89" t="s">
        <v>133</v>
      </c>
      <c r="BH23" s="90"/>
      <c r="BI23" s="91"/>
      <c r="BJ23" s="1"/>
    </row>
    <row r="24" spans="1:62">
      <c r="A24" s="1"/>
      <c r="B24" s="1"/>
      <c r="C24" s="1"/>
      <c r="D24" s="1"/>
      <c r="E24" s="1"/>
      <c r="F24" s="17"/>
      <c r="G24" s="27"/>
      <c r="H24" s="27"/>
      <c r="I24" s="19"/>
      <c r="J24" s="1"/>
      <c r="K24" s="1"/>
      <c r="L24" s="1"/>
      <c r="M24" s="1"/>
      <c r="N24" s="1"/>
    </row>
    <row r="25" spans="1:62">
      <c r="A25" s="1"/>
      <c r="B25" s="1" t="s">
        <v>37</v>
      </c>
      <c r="C25" s="1"/>
      <c r="D25" s="28"/>
      <c r="E25" s="1"/>
      <c r="F25" s="17" t="s">
        <v>38</v>
      </c>
      <c r="G25" s="48">
        <v>50</v>
      </c>
      <c r="H25" s="18"/>
      <c r="I25" s="19" t="s">
        <v>39</v>
      </c>
      <c r="J25" s="29" t="str">
        <f>IF(G34&lt;=G14,"Well flowing","")</f>
        <v/>
      </c>
      <c r="K25" s="30"/>
      <c r="L25" s="1"/>
      <c r="M25" s="1"/>
      <c r="N25" s="1"/>
    </row>
    <row r="26" spans="1:62">
      <c r="A26" s="1"/>
      <c r="B26" s="1" t="s">
        <v>40</v>
      </c>
      <c r="C26" s="1"/>
      <c r="D26" s="1"/>
      <c r="E26" s="1"/>
      <c r="F26" s="17" t="s">
        <v>41</v>
      </c>
      <c r="G26" s="27">
        <v>0.1</v>
      </c>
      <c r="H26" s="27"/>
      <c r="I26" s="19" t="s">
        <v>42</v>
      </c>
      <c r="J26" s="29" t="str">
        <f>IF(G34&lt;=G14,"@ shut-in!","")</f>
        <v/>
      </c>
      <c r="K26" s="1"/>
      <c r="L26" s="1"/>
      <c r="M26" s="1"/>
      <c r="N26" s="1"/>
    </row>
    <row r="27" spans="1:62" ht="13.9" customHeight="1">
      <c r="A27" s="1"/>
      <c r="B27" s="1"/>
      <c r="C27" s="1"/>
      <c r="D27" s="1"/>
      <c r="E27" s="1"/>
      <c r="F27" s="20" t="str">
        <f>IF(G33&gt;G12-G13,"         VKH si &gt;TVD-TVC","")</f>
        <v/>
      </c>
      <c r="G27" s="6"/>
      <c r="H27" s="6"/>
      <c r="I27" s="1"/>
      <c r="J27" s="20" t="str">
        <f>IF(G34&lt;=G14,"BHP&lt;PP","")</f>
        <v/>
      </c>
      <c r="K27" s="1"/>
      <c r="L27" s="1"/>
      <c r="M27" s="1"/>
      <c r="N27" s="1"/>
    </row>
    <row r="28" spans="1:62">
      <c r="A28" s="1"/>
      <c r="B28" s="31" t="s">
        <v>43</v>
      </c>
      <c r="C28" s="1"/>
      <c r="D28" s="1"/>
      <c r="E28" s="1"/>
      <c r="F28" s="19"/>
      <c r="G28" s="32"/>
      <c r="H28" s="32"/>
      <c r="I28" s="19"/>
      <c r="J28" s="1"/>
      <c r="K28" s="1"/>
      <c r="L28" s="1"/>
      <c r="M28" s="1"/>
      <c r="N28" s="1"/>
    </row>
    <row r="29" spans="1:62">
      <c r="A29" s="1"/>
      <c r="B29" s="19" t="s">
        <v>44</v>
      </c>
      <c r="C29" s="19"/>
      <c r="D29" s="1" t="s">
        <v>45</v>
      </c>
      <c r="E29" s="1"/>
      <c r="F29" s="17" t="s">
        <v>46</v>
      </c>
      <c r="G29" s="33">
        <f>(G20^2-G21^2)/1029.46</f>
        <v>0.27320148427330831</v>
      </c>
      <c r="H29" s="33"/>
      <c r="I29" s="19" t="s">
        <v>47</v>
      </c>
      <c r="J29" s="1"/>
      <c r="K29" s="1"/>
      <c r="L29" s="1"/>
      <c r="M29" s="1"/>
      <c r="N29" s="1"/>
    </row>
    <row r="30" spans="1:62">
      <c r="A30" s="1"/>
      <c r="B30" s="1"/>
      <c r="C30" s="1"/>
      <c r="D30" s="1" t="s">
        <v>48</v>
      </c>
      <c r="E30" s="1"/>
      <c r="F30" s="17" t="s">
        <v>49</v>
      </c>
      <c r="G30" s="33">
        <f>(G20^2-G23^2)/1029.46</f>
        <v>0.22730363491539252</v>
      </c>
      <c r="H30" s="33"/>
      <c r="I30" s="19" t="s">
        <v>47</v>
      </c>
      <c r="J30" s="1"/>
      <c r="K30" s="1"/>
      <c r="L30" s="1"/>
      <c r="M30" s="1"/>
      <c r="N30" s="1"/>
    </row>
    <row r="31" spans="1:62">
      <c r="A31" s="1"/>
      <c r="B31" s="1"/>
      <c r="C31" s="1"/>
      <c r="D31" s="34" t="s">
        <v>50</v>
      </c>
      <c r="E31" s="1"/>
      <c r="F31" s="17" t="s">
        <v>51</v>
      </c>
      <c r="G31" s="35">
        <f>(G12-G13)/COS((G18+G17)/2*3.14159/180)</f>
        <v>3000</v>
      </c>
      <c r="H31" s="35"/>
      <c r="I31" s="19" t="s">
        <v>52</v>
      </c>
      <c r="J31" s="1"/>
      <c r="K31" s="1"/>
      <c r="L31" s="1"/>
      <c r="M31" s="1"/>
      <c r="N31" s="1"/>
    </row>
    <row r="32" spans="1:62">
      <c r="A32" s="1"/>
      <c r="B32" s="19" t="s">
        <v>53</v>
      </c>
      <c r="C32" s="1"/>
      <c r="D32" s="1"/>
      <c r="E32" s="1"/>
      <c r="F32" s="1"/>
      <c r="G32" s="1"/>
      <c r="H32" s="1"/>
      <c r="I32" s="1"/>
      <c r="J32" s="34"/>
      <c r="K32" s="1"/>
      <c r="L32" s="1"/>
      <c r="M32" s="1"/>
      <c r="N32" s="1"/>
    </row>
    <row r="33" spans="1:14">
      <c r="A33" s="1"/>
      <c r="B33" s="1"/>
      <c r="C33" s="34" t="s">
        <v>54</v>
      </c>
      <c r="D33" s="1"/>
      <c r="E33" s="1"/>
      <c r="F33" s="17" t="s">
        <v>55</v>
      </c>
      <c r="G33" s="36">
        <f>COS(G18*3.14159/180)*IF((G25/G30)&lt;G22,G25/G30,G22+(G25-G30*G22)/G29)</f>
        <v>203.17511111111111</v>
      </c>
      <c r="H33" s="36"/>
      <c r="I33" s="19" t="s">
        <v>11</v>
      </c>
      <c r="J33" s="1"/>
      <c r="K33" s="19" t="s">
        <v>20</v>
      </c>
      <c r="L33" s="1"/>
      <c r="M33" s="1"/>
      <c r="N33" s="1"/>
    </row>
    <row r="34" spans="1:14">
      <c r="A34" s="1"/>
      <c r="B34" s="1"/>
      <c r="C34" s="1" t="s">
        <v>56</v>
      </c>
      <c r="D34" s="1"/>
      <c r="E34" s="1"/>
      <c r="F34" s="17" t="s">
        <v>57</v>
      </c>
      <c r="G34" s="36">
        <f>IF(G14&lt;G33*G26+(G12-G33)*G15,G33*G26+(G12-G33)*G15,G14)</f>
        <v>3280.2467100444446</v>
      </c>
      <c r="H34" s="36"/>
      <c r="I34" s="19" t="s">
        <v>22</v>
      </c>
      <c r="J34" s="1"/>
      <c r="K34" s="19"/>
      <c r="L34" s="1"/>
      <c r="M34" s="1"/>
      <c r="N34" s="1"/>
    </row>
    <row r="35" spans="1:14">
      <c r="A35" s="1"/>
      <c r="B35" s="5" t="s">
        <v>58</v>
      </c>
      <c r="C35" s="1" t="s">
        <v>59</v>
      </c>
      <c r="D35" s="1"/>
      <c r="E35" s="1"/>
      <c r="F35" s="17" t="s">
        <v>60</v>
      </c>
      <c r="G35" s="36">
        <f>COS(G17*3.14159/180)*IF(G22&gt;G31,IF(G25/G30&lt;G22,G25/G30,G22+(G25-G30*G22)/G29),IF(G25/G29&lt;G31-G22,G25/G29,IF(G25&lt;(G31-G22)*G29+G22*G30,G31-G22+(G25-(G31-G22)*G29)/G30,G22+(G25-G22*G30)/G29)))</f>
        <v>183.01511111111114</v>
      </c>
      <c r="H35" s="36"/>
      <c r="I35" s="19" t="s">
        <v>11</v>
      </c>
      <c r="J35" s="1"/>
      <c r="K35" s="1"/>
      <c r="L35" s="1"/>
      <c r="M35" s="1"/>
      <c r="N35" s="1"/>
    </row>
    <row r="36" spans="1:14">
      <c r="A36" s="1"/>
      <c r="B36" s="5"/>
      <c r="C36" s="1" t="s">
        <v>61</v>
      </c>
      <c r="D36" s="1"/>
      <c r="E36" s="1"/>
      <c r="F36" s="17" t="s">
        <v>62</v>
      </c>
      <c r="G36" s="36">
        <f>G25*(G34-G26*G33)/G41</f>
        <v>102.23587480897289</v>
      </c>
      <c r="H36" s="36"/>
      <c r="I36" s="19" t="s">
        <v>39</v>
      </c>
      <c r="J36" s="1"/>
      <c r="K36" s="1"/>
      <c r="L36" s="1"/>
      <c r="M36" s="1"/>
      <c r="N36" s="1"/>
    </row>
    <row r="37" spans="1:14">
      <c r="A37" s="1"/>
      <c r="B37" s="5" t="s">
        <v>58</v>
      </c>
      <c r="C37" s="1" t="s">
        <v>63</v>
      </c>
      <c r="D37" s="1"/>
      <c r="E37" s="1"/>
      <c r="F37" s="17" t="s">
        <v>64</v>
      </c>
      <c r="G37" s="36">
        <f>COS(G17*3.14159/180)*IF(G22&gt;G31,IF(G36/G30&lt;G22,G36/G30,G22+(G36-G30*G22)/G29),IF(G36/G29&lt;G31-G22,G36/G29,IF(G36&lt;(G31-G22)*G29+G22*G30,G31-G22+(G36-(G31-G22)*G29)/G30,G22+(G36-G22*G30)/G29)))</f>
        <v>374.21419975411641</v>
      </c>
      <c r="H37" s="36"/>
      <c r="I37" s="19" t="s">
        <v>11</v>
      </c>
      <c r="J37" s="1"/>
      <c r="K37" s="1"/>
      <c r="L37" s="1"/>
      <c r="M37" s="1"/>
      <c r="N37" s="1"/>
    </row>
    <row r="38" spans="1:14">
      <c r="A38" s="1"/>
      <c r="B38" s="5"/>
      <c r="C38" s="1"/>
      <c r="D38" s="1"/>
      <c r="E38" s="1"/>
      <c r="F38" s="17"/>
      <c r="G38" s="36"/>
      <c r="H38" s="36"/>
      <c r="I38" s="19"/>
      <c r="J38" s="1"/>
      <c r="K38" s="1"/>
      <c r="L38" s="1"/>
      <c r="M38" s="1"/>
      <c r="N38" s="1"/>
    </row>
    <row r="39" spans="1:14">
      <c r="A39" s="1"/>
      <c r="B39" s="19" t="s">
        <v>65</v>
      </c>
      <c r="C39" s="1"/>
      <c r="D39" s="1"/>
      <c r="E39" s="1"/>
      <c r="F39" s="17"/>
      <c r="G39" s="37"/>
      <c r="H39" s="37"/>
      <c r="I39" s="19"/>
      <c r="J39" s="1"/>
      <c r="K39" s="1"/>
      <c r="L39" s="1"/>
      <c r="M39" s="1"/>
      <c r="N39" s="1"/>
    </row>
    <row r="40" spans="1:14">
      <c r="A40" s="1"/>
      <c r="B40" s="1"/>
      <c r="C40" s="1"/>
      <c r="D40" s="1" t="s">
        <v>66</v>
      </c>
      <c r="E40" s="1"/>
      <c r="F40" s="17" t="s">
        <v>67</v>
      </c>
      <c r="G40" s="36">
        <f>IF(G33&lt;G12-G13,G34-G33*G26-(G12-G13-G33)*G15,G34-(G12-G13)*G26)</f>
        <v>1471.0800000000004</v>
      </c>
      <c r="H40" s="36"/>
      <c r="I40" s="19" t="s">
        <v>22</v>
      </c>
      <c r="J40" s="1"/>
      <c r="K40" s="1"/>
      <c r="L40" s="1"/>
      <c r="M40" s="1"/>
      <c r="N40" s="1"/>
    </row>
    <row r="41" spans="1:14">
      <c r="A41" s="1"/>
      <c r="B41" s="1"/>
      <c r="C41" s="1"/>
      <c r="D41" s="1" t="s">
        <v>68</v>
      </c>
      <c r="E41" s="1"/>
      <c r="F41" s="17" t="s">
        <v>69</v>
      </c>
      <c r="G41" s="36">
        <f>0.5*(IF((G26*G35+G15*(G12-G35))&lt;G14,G14,G26*G35+G15*(G12-G35))-(G12-G13)*G15-G26*IF(+(G12-G13)&gt;G35,G35,G12-G13))+((0.5*(IF((G26*G35+G15*(G12-G35))&lt;G14,G14,G26*G35+G15*(G12-G35))-(G12-G13)*G15-G26*IF(+(G12-G13)&gt;G35,G35,G12-G13)))^2+((IF((G26*G35+G15*(G12-G35))&lt;G14,G14,G26*G35+G15*(G12-G35))-G26*IF(+(G12-G13)&gt;G35,G35,G12-G13))*G15*IF(+(G12-G13)&gt;G35,G35,G12-G13)))^0.5</f>
        <v>1594.3176526950504</v>
      </c>
      <c r="H41" s="36"/>
      <c r="I41" s="19" t="s">
        <v>22</v>
      </c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7"/>
      <c r="G42" s="36"/>
      <c r="H42" s="36"/>
      <c r="I42" s="19"/>
      <c r="J42" s="1"/>
      <c r="K42" s="1"/>
      <c r="L42" s="1"/>
      <c r="M42" s="1"/>
      <c r="N42" s="1"/>
    </row>
    <row r="43" spans="1:14">
      <c r="A43" s="1"/>
      <c r="B43" s="1" t="s">
        <v>70</v>
      </c>
      <c r="C43" s="1"/>
      <c r="D43" s="1"/>
      <c r="E43" s="1"/>
      <c r="F43" s="17" t="s">
        <v>71</v>
      </c>
      <c r="G43" s="38">
        <f>1/G13*(IF((G26*G33+G15*(G12-G33))&lt;G14,G14,G26*G33+G15*(G12-G33))-IF(G33&gt;(G12-G13),G12-G13,G33)*G26-(G12-G13-IF(G33&gt;(G12-G13),G12-G13,G33))*G15)</f>
        <v>0.63960000000000017</v>
      </c>
      <c r="H43" s="38"/>
      <c r="I43" s="19" t="s">
        <v>19</v>
      </c>
      <c r="J43" s="54">
        <f>G43*19.25</f>
        <v>12.312300000000004</v>
      </c>
      <c r="K43" s="1"/>
      <c r="L43" s="19" t="s">
        <v>20</v>
      </c>
      <c r="M43" s="1"/>
      <c r="N43" s="1"/>
    </row>
    <row r="44" spans="1:14">
      <c r="A44" s="1"/>
      <c r="B44" s="1" t="s">
        <v>72</v>
      </c>
      <c r="C44" s="1"/>
      <c r="D44" s="1"/>
      <c r="E44" s="1"/>
      <c r="F44" s="39" t="s">
        <v>73</v>
      </c>
      <c r="G44" s="40">
        <f>IF(G13=0,"XXXX",G41/G13)</f>
        <v>0.69318158812828279</v>
      </c>
      <c r="H44" s="40"/>
      <c r="I44" s="41" t="s">
        <v>19</v>
      </c>
      <c r="J44" s="55">
        <f>IF(G13=0,"XXXX",G44*19.25)</f>
        <v>13.343745571469444</v>
      </c>
      <c r="K44" s="41" t="s">
        <v>20</v>
      </c>
      <c r="L44" s="19" t="s">
        <v>20</v>
      </c>
      <c r="M44" s="19"/>
      <c r="N44" s="65" t="s">
        <v>136</v>
      </c>
    </row>
    <row r="45" spans="1:14">
      <c r="A45" s="1"/>
      <c r="B45" s="1"/>
      <c r="C45" s="1"/>
      <c r="D45" s="1"/>
      <c r="E45" s="1"/>
      <c r="F45" s="42"/>
      <c r="G45" s="20" t="str">
        <f>IF(G15&gt;G44,"Warning! MW &gt; FSG","")</f>
        <v/>
      </c>
      <c r="H45" s="20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20" t="str">
        <f>IF(G43&gt;G44,"Warning! FSG si &gt; FSG exp","")</f>
        <v/>
      </c>
      <c r="H46" s="20"/>
      <c r="I46" s="19"/>
      <c r="J46" s="43"/>
      <c r="K46" s="19"/>
      <c r="L46" s="1"/>
      <c r="M46" s="1"/>
      <c r="N46" s="1"/>
    </row>
    <row r="47" spans="1:14">
      <c r="A47" s="1"/>
      <c r="B47" s="1"/>
      <c r="C47" s="1"/>
      <c r="D47" s="1"/>
      <c r="E47" s="1"/>
      <c r="F47" s="2"/>
      <c r="G47" s="1"/>
      <c r="H47" s="1"/>
      <c r="I47" s="19"/>
      <c r="J47" s="43"/>
      <c r="K47" s="19"/>
      <c r="L47" s="1"/>
      <c r="M47" s="1"/>
      <c r="N47" s="1"/>
    </row>
    <row r="48" spans="1:14">
      <c r="A48" s="1"/>
      <c r="B48" s="19" t="s">
        <v>74</v>
      </c>
      <c r="C48" s="1"/>
      <c r="D48" s="1"/>
      <c r="E48" s="1"/>
      <c r="F48" s="17"/>
      <c r="G48" s="44"/>
      <c r="H48" s="44"/>
      <c r="I48" s="19"/>
      <c r="J48" s="43"/>
      <c r="K48" s="19"/>
      <c r="L48" s="1"/>
      <c r="M48" s="1"/>
      <c r="N48" s="1"/>
    </row>
    <row r="49" spans="1:14">
      <c r="A49" s="1"/>
      <c r="B49" s="19"/>
      <c r="C49" s="1"/>
      <c r="D49" s="1"/>
      <c r="E49" s="1"/>
      <c r="F49" s="17"/>
      <c r="G49" s="44"/>
      <c r="H49" s="44"/>
      <c r="I49" s="19"/>
      <c r="J49" s="43"/>
      <c r="K49" s="19"/>
      <c r="L49" s="1"/>
      <c r="M49" s="1"/>
      <c r="N49" s="1"/>
    </row>
    <row r="50" spans="1:14">
      <c r="A50" s="1"/>
      <c r="B50" s="19" t="s">
        <v>75</v>
      </c>
      <c r="C50" s="1"/>
      <c r="D50" s="1"/>
      <c r="E50" s="1"/>
      <c r="F50" s="17"/>
      <c r="G50" s="44"/>
      <c r="H50" s="44"/>
      <c r="I50" s="19"/>
      <c r="J50" s="43"/>
      <c r="K50" s="19"/>
      <c r="L50" s="1"/>
      <c r="M50" s="1"/>
      <c r="N50" s="1"/>
    </row>
    <row r="51" spans="1:14">
      <c r="A51" s="1"/>
      <c r="B51" s="19" t="s">
        <v>76</v>
      </c>
      <c r="C51" s="1"/>
      <c r="D51" s="1"/>
      <c r="E51" s="1"/>
      <c r="F51" s="17"/>
      <c r="G51" s="44"/>
      <c r="H51" s="44"/>
      <c r="I51" s="19"/>
      <c r="J51" s="43"/>
      <c r="K51" s="19"/>
      <c r="L51" s="1"/>
      <c r="M51" s="1"/>
      <c r="N51" s="1"/>
    </row>
    <row r="52" spans="1:14">
      <c r="A52" s="1"/>
      <c r="B52" s="19" t="s">
        <v>77</v>
      </c>
      <c r="C52" s="1"/>
      <c r="D52" s="1"/>
      <c r="E52" s="1"/>
      <c r="F52" s="17"/>
      <c r="G52" s="44"/>
      <c r="H52" s="44"/>
      <c r="I52" s="19"/>
      <c r="J52" s="43"/>
      <c r="K52" s="19"/>
      <c r="L52" s="1"/>
      <c r="M52" s="1"/>
      <c r="N52" s="1"/>
    </row>
    <row r="53" spans="1:14">
      <c r="A53" s="1"/>
      <c r="B53" s="19" t="s">
        <v>78</v>
      </c>
      <c r="C53" s="1"/>
      <c r="D53" s="1"/>
      <c r="E53" s="1"/>
      <c r="F53" s="17"/>
      <c r="G53" s="44"/>
      <c r="H53" s="44"/>
      <c r="I53" s="19"/>
      <c r="J53" s="43"/>
      <c r="K53" s="19"/>
      <c r="L53" s="1"/>
      <c r="M53" s="1"/>
      <c r="N53" s="1"/>
    </row>
    <row r="54" spans="1:14">
      <c r="A54" s="1"/>
      <c r="B54" s="19" t="s">
        <v>79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9" t="s">
        <v>80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9" t="s">
        <v>81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9" t="s">
        <v>82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9" t="s">
        <v>83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9" t="s">
        <v>84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9" t="s">
        <v>85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9" t="s">
        <v>86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9" t="s">
        <v>87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9" t="s">
        <v>88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9" t="s">
        <v>89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/>
      <c r="B66" s="1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/>
      <c r="B67" s="1" t="s">
        <v>91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/>
      <c r="B68" s="1" t="s">
        <v>92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/>
      <c r="B69" s="1" t="s">
        <v>93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/>
      <c r="B70" s="1" t="s">
        <v>94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/>
      <c r="B71" s="1" t="s">
        <v>95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/>
      <c r="B72" s="1" t="s">
        <v>96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1"/>
      <c r="B73" s="19" t="s">
        <v>97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/>
      <c r="B74" s="1" t="s">
        <v>98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/>
      <c r="B75" s="1" t="s">
        <v>99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/>
      <c r="B77" s="1" t="s">
        <v>100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/>
      <c r="B78" s="1" t="s">
        <v>101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"/>
      <c r="B79" s="1" t="s">
        <v>102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"/>
      <c r="B81" s="1" t="s">
        <v>103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"/>
      <c r="B82" s="1" t="s">
        <v>104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"/>
      <c r="B83" s="1" t="s">
        <v>105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/>
      <c r="B85" s="1" t="s">
        <v>106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/>
      <c r="B86" s="1" t="s">
        <v>107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/>
      <c r="B87" s="1" t="s">
        <v>108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/>
      <c r="B88" s="19" t="s">
        <v>109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/>
      <c r="B89" s="1" t="s">
        <v>110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/>
      <c r="B90" s="1" t="s">
        <v>111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/>
      <c r="B91" s="19" t="s">
        <v>112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/>
      <c r="B92" s="1" t="s">
        <v>113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1"/>
      <c r="B93" s="19" t="s">
        <v>114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1"/>
      <c r="B94" s="1" t="s">
        <v>115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/>
      <c r="B97" s="1"/>
      <c r="C97" s="9" t="s">
        <v>116</v>
      </c>
      <c r="D97" s="10"/>
      <c r="E97" s="10"/>
      <c r="F97" s="10"/>
      <c r="G97" s="10"/>
      <c r="H97" s="10"/>
      <c r="I97" s="11"/>
      <c r="J97" s="1"/>
      <c r="K97" s="1"/>
      <c r="L97" s="1"/>
      <c r="M97" s="1"/>
      <c r="N97" s="1"/>
    </row>
    <row r="98" spans="1:14">
      <c r="A98" s="1"/>
      <c r="B98" s="1"/>
      <c r="C98" s="45" t="s">
        <v>117</v>
      </c>
      <c r="D98" s="1"/>
      <c r="E98" s="1"/>
      <c r="F98" s="1"/>
      <c r="G98" s="1"/>
      <c r="H98" s="1"/>
      <c r="I98" s="46"/>
      <c r="J98" s="1"/>
      <c r="K98" s="1"/>
      <c r="L98" s="1"/>
      <c r="M98" s="1"/>
      <c r="N98" s="1"/>
    </row>
    <row r="99" spans="1:14">
      <c r="A99" s="1"/>
      <c r="B99" s="1"/>
      <c r="C99" s="12" t="s">
        <v>118</v>
      </c>
      <c r="D99" s="13"/>
      <c r="E99" s="13"/>
      <c r="F99" s="13"/>
      <c r="G99" s="13"/>
      <c r="H99" s="13"/>
      <c r="I99" s="14"/>
      <c r="J99" s="1"/>
      <c r="K99" s="1"/>
      <c r="L99" s="1"/>
      <c r="M99" s="1"/>
      <c r="N99" s="1"/>
    </row>
    <row r="100" spans="1: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6">
    <mergeCell ref="BG13:BI13"/>
    <mergeCell ref="AK23:AM23"/>
    <mergeCell ref="AG16:AI16"/>
    <mergeCell ref="BC16:BE16"/>
    <mergeCell ref="BG23:BI23"/>
    <mergeCell ref="BG19:BI19"/>
  </mergeCells>
  <phoneticPr fontId="12" type="noConversion"/>
  <pageMargins left="0.75" right="0.75" top="1" bottom="1" header="0.5" footer="0.5"/>
  <pageSetup orientation="portrait" horizontalDpi="120" verticalDpi="7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0"/>
  <sheetViews>
    <sheetView topLeftCell="A10" zoomScale="62" zoomScaleNormal="62" workbookViewId="0">
      <selection activeCell="AZ27" sqref="AZ27"/>
    </sheetView>
  </sheetViews>
  <sheetFormatPr defaultColWidth="2.765625" defaultRowHeight="15.5"/>
  <cols>
    <col min="1" max="1" width="1.765625" customWidth="1"/>
    <col min="2" max="2" width="6.765625" customWidth="1"/>
    <col min="3" max="4" width="8.765625" customWidth="1"/>
    <col min="5" max="5" width="12.765625" customWidth="1"/>
    <col min="6" max="6" width="10.23046875" customWidth="1"/>
    <col min="7" max="7" width="7.765625" customWidth="1"/>
    <col min="8" max="8" width="7.53515625" customWidth="1"/>
    <col min="9" max="9" width="8.07421875" customWidth="1"/>
    <col min="10" max="10" width="6.765625" customWidth="1"/>
    <col min="11" max="11" width="0" hidden="1" customWidth="1"/>
    <col min="16" max="16" width="2.69140625" customWidth="1"/>
  </cols>
  <sheetData>
    <row r="1" spans="1:48" ht="12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8" ht="12" customHeight="1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48" ht="21" customHeight="1" thickBot="1">
      <c r="A3" s="1"/>
      <c r="B3" s="3" t="s">
        <v>0</v>
      </c>
      <c r="C3" s="4"/>
      <c r="D3" s="1"/>
      <c r="E3" s="5" t="s">
        <v>1</v>
      </c>
      <c r="F3" s="6" t="str">
        <f>'20in Casing with 50 bbl'!F3</f>
        <v>JDS-21-01</v>
      </c>
      <c r="G3" s="6"/>
      <c r="H3" s="6"/>
      <c r="I3" s="1"/>
      <c r="J3" s="1"/>
      <c r="K3" s="1"/>
      <c r="L3" s="1"/>
      <c r="M3" s="1"/>
      <c r="N3" s="1"/>
      <c r="O3" s="1"/>
    </row>
    <row r="4" spans="1:48" ht="19" customHeight="1">
      <c r="A4" s="1"/>
      <c r="B4" s="1" t="s">
        <v>2</v>
      </c>
      <c r="C4" s="1"/>
      <c r="D4" s="1"/>
      <c r="E4" s="5" t="s">
        <v>3</v>
      </c>
      <c r="F4" s="6" t="str">
        <f>'20in Casing with 50 bbl'!F4</f>
        <v>TBA</v>
      </c>
      <c r="G4" s="6"/>
      <c r="H4" s="6"/>
      <c r="I4" s="1"/>
      <c r="J4" s="1"/>
      <c r="K4" s="1"/>
      <c r="L4" s="1"/>
      <c r="M4" s="1"/>
      <c r="N4" s="1"/>
      <c r="O4" s="1"/>
    </row>
    <row r="5" spans="1:48" ht="21" customHeight="1">
      <c r="A5" s="1"/>
      <c r="B5" s="1"/>
      <c r="C5" s="1"/>
      <c r="D5" s="1"/>
      <c r="E5" s="5" t="s">
        <v>4</v>
      </c>
      <c r="F5" s="56">
        <f>'20in Casing with 50 bbl'!F5</f>
        <v>44487</v>
      </c>
      <c r="G5" s="6"/>
      <c r="H5" s="6"/>
      <c r="I5" s="1"/>
      <c r="J5" s="1"/>
      <c r="K5" s="1"/>
      <c r="L5" s="1"/>
      <c r="M5" s="1"/>
      <c r="N5" s="1"/>
      <c r="O5" s="1"/>
    </row>
    <row r="6" spans="1:48" ht="21" customHeight="1">
      <c r="A6" s="1"/>
      <c r="B6" s="1"/>
      <c r="C6" s="1"/>
      <c r="D6" s="1"/>
      <c r="E6" s="5" t="s">
        <v>5</v>
      </c>
      <c r="F6" s="6" t="str">
        <f>'20in Casing with 50 bbl'!F6</f>
        <v>JDS-21</v>
      </c>
      <c r="G6" s="6"/>
      <c r="H6" s="6"/>
      <c r="I6" s="1"/>
      <c r="J6" s="1"/>
      <c r="K6" s="1"/>
      <c r="L6" s="1"/>
      <c r="M6" s="1"/>
      <c r="N6" s="1"/>
      <c r="O6" s="1"/>
    </row>
    <row r="7" spans="1:48" ht="16" customHeight="1">
      <c r="A7" s="1"/>
      <c r="B7" s="1"/>
      <c r="C7" s="1"/>
      <c r="D7" s="1"/>
      <c r="E7" s="5"/>
      <c r="F7" s="8"/>
      <c r="G7" s="6"/>
      <c r="H7" s="6"/>
      <c r="I7" s="1"/>
      <c r="J7" s="1"/>
      <c r="K7" s="1"/>
      <c r="L7" s="1"/>
      <c r="M7" s="1"/>
      <c r="N7" s="1"/>
      <c r="O7" s="1"/>
    </row>
    <row r="8" spans="1:48">
      <c r="A8" s="1"/>
      <c r="B8" s="9" t="s">
        <v>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"/>
    </row>
    <row r="9" spans="1:48">
      <c r="A9" s="1"/>
      <c r="B9" s="12" t="s">
        <v>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"/>
    </row>
    <row r="10" spans="1:4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48">
      <c r="A11" s="1"/>
      <c r="B11" s="15" t="s">
        <v>8</v>
      </c>
      <c r="C11" s="1"/>
      <c r="D11" s="1"/>
      <c r="E11" s="1"/>
      <c r="F11" s="1"/>
      <c r="G11" s="16"/>
      <c r="H11" s="16"/>
      <c r="I11" s="1"/>
      <c r="J11" s="1"/>
      <c r="K11" s="1"/>
      <c r="L11" s="1"/>
      <c r="M11" s="1"/>
      <c r="N11" s="1"/>
      <c r="O11" s="1"/>
    </row>
    <row r="12" spans="1:48">
      <c r="A12" s="1"/>
      <c r="B12" s="1" t="s">
        <v>9</v>
      </c>
      <c r="C12" s="1"/>
      <c r="D12" s="1"/>
      <c r="E12" s="1"/>
      <c r="F12" s="17" t="s">
        <v>10</v>
      </c>
      <c r="G12" s="18">
        <v>10000</v>
      </c>
      <c r="H12" s="19" t="s">
        <v>11</v>
      </c>
      <c r="I12" s="47"/>
      <c r="K12" s="1"/>
      <c r="L12" s="1"/>
      <c r="M12" s="1"/>
      <c r="N12" s="1"/>
      <c r="O12" s="1"/>
    </row>
    <row r="13" spans="1:48">
      <c r="A13" s="1"/>
      <c r="B13" s="1" t="s">
        <v>12</v>
      </c>
      <c r="C13" s="1"/>
      <c r="D13" s="1"/>
      <c r="E13" s="1"/>
      <c r="F13" s="17" t="s">
        <v>13</v>
      </c>
      <c r="G13" s="18">
        <v>5300</v>
      </c>
      <c r="H13" s="19" t="s">
        <v>11</v>
      </c>
      <c r="I13" s="47"/>
      <c r="K13" s="1"/>
      <c r="L13" s="1"/>
      <c r="M13" s="1"/>
      <c r="N13" s="1"/>
      <c r="O13" s="1"/>
      <c r="AJ13" s="66"/>
      <c r="AK13" s="62"/>
      <c r="AL13" s="62"/>
      <c r="AM13" s="62"/>
      <c r="AN13" s="68"/>
    </row>
    <row r="14" spans="1:48">
      <c r="A14" s="1"/>
      <c r="B14" s="1" t="s">
        <v>14</v>
      </c>
      <c r="C14" s="1"/>
      <c r="D14" s="1"/>
      <c r="E14" s="1"/>
      <c r="F14" s="17" t="s">
        <v>15</v>
      </c>
      <c r="G14" s="18">
        <f>16.2*0.052*G12</f>
        <v>8424</v>
      </c>
      <c r="H14" s="18"/>
      <c r="I14" s="19" t="s">
        <v>16</v>
      </c>
      <c r="J14" s="20"/>
      <c r="K14" s="19"/>
      <c r="L14" s="1"/>
      <c r="M14" s="1"/>
      <c r="N14" s="1"/>
      <c r="O14" s="1"/>
      <c r="AJ14" s="66"/>
      <c r="AK14" s="62"/>
      <c r="AL14" s="62"/>
      <c r="AM14" s="62"/>
      <c r="AN14" s="68"/>
    </row>
    <row r="15" spans="1:48">
      <c r="A15" s="1"/>
      <c r="B15" s="1" t="s">
        <v>17</v>
      </c>
      <c r="C15" s="1"/>
      <c r="D15" s="1"/>
      <c r="E15" s="1"/>
      <c r="F15" s="17" t="s">
        <v>18</v>
      </c>
      <c r="G15" s="21">
        <f>16.7*0.052</f>
        <v>0.86839999999999995</v>
      </c>
      <c r="H15" s="21"/>
      <c r="I15" s="19" t="s">
        <v>19</v>
      </c>
      <c r="J15" s="53">
        <f>G15*19.25</f>
        <v>16.716699999999999</v>
      </c>
      <c r="K15" s="19" t="s">
        <v>20</v>
      </c>
      <c r="L15" s="19" t="s">
        <v>20</v>
      </c>
      <c r="M15" s="1"/>
      <c r="N15" s="1"/>
      <c r="O15" s="1"/>
      <c r="AJ15" s="66"/>
      <c r="AK15" s="62"/>
      <c r="AL15" s="62"/>
      <c r="AM15" s="62"/>
      <c r="AN15" s="68"/>
    </row>
    <row r="16" spans="1:48" ht="16" thickBot="1">
      <c r="A16" s="1"/>
      <c r="B16" s="1"/>
      <c r="C16" s="1"/>
      <c r="D16" s="1"/>
      <c r="E16" s="1"/>
      <c r="F16" s="17"/>
      <c r="G16" s="1"/>
      <c r="H16" s="1"/>
      <c r="I16" s="17" t="s">
        <v>21</v>
      </c>
      <c r="J16" s="22">
        <f>G15*G12-G14</f>
        <v>260</v>
      </c>
      <c r="K16" s="1"/>
      <c r="L16" s="19" t="s">
        <v>22</v>
      </c>
      <c r="M16" s="1"/>
      <c r="N16" s="1"/>
      <c r="O16" s="1"/>
      <c r="AG16" s="87">
        <f>G13</f>
        <v>5300</v>
      </c>
      <c r="AH16" s="88"/>
      <c r="AI16" s="88"/>
      <c r="AJ16" s="67"/>
      <c r="AK16" s="62"/>
      <c r="AL16" s="62"/>
      <c r="AM16" s="62"/>
      <c r="AN16" s="69"/>
      <c r="AO16" s="65" t="s">
        <v>124</v>
      </c>
      <c r="AV16" s="65"/>
    </row>
    <row r="17" spans="1:40" ht="16" thickTop="1">
      <c r="A17" s="1"/>
      <c r="B17" s="1" t="s">
        <v>23</v>
      </c>
      <c r="C17" s="1"/>
      <c r="D17" s="1"/>
      <c r="E17" s="1"/>
      <c r="F17" s="17" t="s">
        <v>24</v>
      </c>
      <c r="G17" s="18">
        <v>0</v>
      </c>
      <c r="H17" s="18"/>
      <c r="I17" s="19" t="s">
        <v>25</v>
      </c>
      <c r="J17" s="1"/>
      <c r="K17" s="1"/>
      <c r="L17" s="1"/>
      <c r="M17" s="1"/>
      <c r="N17" s="1"/>
      <c r="O17" s="1"/>
      <c r="AK17" s="63"/>
      <c r="AL17" s="62"/>
      <c r="AM17" s="64"/>
    </row>
    <row r="18" spans="1:40">
      <c r="A18" s="1"/>
      <c r="B18" s="1" t="s">
        <v>26</v>
      </c>
      <c r="C18" s="1"/>
      <c r="D18" s="1"/>
      <c r="E18" s="1"/>
      <c r="F18" s="17" t="s">
        <v>27</v>
      </c>
      <c r="G18" s="18">
        <v>0</v>
      </c>
      <c r="H18" s="18"/>
      <c r="I18" s="19" t="s">
        <v>25</v>
      </c>
      <c r="J18" s="1"/>
      <c r="K18" s="23"/>
      <c r="L18" s="1"/>
      <c r="M18" s="1"/>
      <c r="N18" s="1"/>
      <c r="O18" s="1"/>
      <c r="AK18" s="63"/>
      <c r="AL18" s="62"/>
      <c r="AM18" s="64"/>
    </row>
    <row r="19" spans="1:4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AK19" s="63"/>
      <c r="AL19" s="62"/>
      <c r="AM19" s="64"/>
      <c r="AN19" s="65" t="s">
        <v>125</v>
      </c>
    </row>
    <row r="20" spans="1:40">
      <c r="A20" s="1"/>
      <c r="B20" s="1" t="s">
        <v>28</v>
      </c>
      <c r="C20" s="1"/>
      <c r="D20" s="1"/>
      <c r="E20" s="1"/>
      <c r="F20" s="17" t="s">
        <v>29</v>
      </c>
      <c r="G20" s="49">
        <v>12.25</v>
      </c>
      <c r="H20" s="24"/>
      <c r="I20" s="19" t="s">
        <v>30</v>
      </c>
      <c r="J20" s="1"/>
      <c r="K20" s="1"/>
      <c r="L20" s="1"/>
      <c r="M20" s="1"/>
      <c r="N20" s="1"/>
      <c r="O20" s="1"/>
      <c r="AK20" s="63"/>
      <c r="AL20" s="62"/>
      <c r="AM20" s="64"/>
    </row>
    <row r="21" spans="1:40">
      <c r="A21" s="1"/>
      <c r="B21" s="1" t="s">
        <v>31</v>
      </c>
      <c r="C21" s="1"/>
      <c r="D21" s="1"/>
      <c r="E21" s="1"/>
      <c r="F21" s="17" t="s">
        <v>32</v>
      </c>
      <c r="G21" s="50">
        <v>5</v>
      </c>
      <c r="H21" s="25"/>
      <c r="I21" s="19" t="s">
        <v>30</v>
      </c>
      <c r="J21" s="1"/>
      <c r="K21" s="1"/>
      <c r="L21" s="1"/>
      <c r="M21" s="1"/>
      <c r="N21" s="1"/>
      <c r="O21" s="1"/>
      <c r="AK21" s="63"/>
      <c r="AL21" s="62"/>
      <c r="AM21" s="64"/>
    </row>
    <row r="22" spans="1:40">
      <c r="A22" s="1"/>
      <c r="B22" s="1" t="s">
        <v>33</v>
      </c>
      <c r="C22" s="1"/>
      <c r="D22" s="1"/>
      <c r="E22" s="1"/>
      <c r="F22" s="17" t="s">
        <v>34</v>
      </c>
      <c r="G22" s="51">
        <v>120</v>
      </c>
      <c r="H22" s="26"/>
      <c r="I22" s="19" t="s">
        <v>11</v>
      </c>
      <c r="J22" s="1"/>
      <c r="K22" s="1"/>
      <c r="L22" s="1"/>
      <c r="M22" s="1"/>
      <c r="N22" s="1"/>
      <c r="O22" s="1"/>
      <c r="AK22" s="63"/>
      <c r="AL22" s="62"/>
      <c r="AM22" s="64"/>
    </row>
    <row r="23" spans="1:40">
      <c r="A23" s="1"/>
      <c r="B23" s="1" t="s">
        <v>35</v>
      </c>
      <c r="C23" s="1"/>
      <c r="D23" s="1"/>
      <c r="E23" s="1"/>
      <c r="F23" s="17" t="s">
        <v>36</v>
      </c>
      <c r="G23" s="52">
        <v>8.5</v>
      </c>
      <c r="H23" s="27"/>
      <c r="I23" s="19" t="s">
        <v>30</v>
      </c>
      <c r="J23" s="1"/>
      <c r="K23" s="1"/>
      <c r="L23" s="1"/>
      <c r="M23" s="1"/>
      <c r="N23" s="1"/>
      <c r="O23" s="1"/>
      <c r="AK23" s="95">
        <v>10000</v>
      </c>
      <c r="AL23" s="85"/>
      <c r="AM23" s="86"/>
      <c r="AN23" s="1" t="s">
        <v>9</v>
      </c>
    </row>
    <row r="24" spans="1:40">
      <c r="A24" s="1"/>
      <c r="B24" s="1"/>
      <c r="C24" s="1"/>
      <c r="D24" s="1"/>
      <c r="E24" s="1"/>
      <c r="F24" s="17"/>
      <c r="G24" s="27"/>
      <c r="H24" s="27"/>
      <c r="I24" s="19"/>
      <c r="J24" s="1"/>
      <c r="K24" s="1"/>
      <c r="L24" s="1"/>
      <c r="M24" s="1"/>
      <c r="N24" s="1"/>
      <c r="O24" s="1"/>
    </row>
    <row r="25" spans="1:40">
      <c r="A25" s="1"/>
      <c r="B25" s="1" t="s">
        <v>37</v>
      </c>
      <c r="C25" s="1"/>
      <c r="D25" s="28"/>
      <c r="E25" s="1"/>
      <c r="F25" s="17" t="s">
        <v>38</v>
      </c>
      <c r="G25" s="48">
        <v>40</v>
      </c>
      <c r="H25" s="18"/>
      <c r="I25" s="19" t="s">
        <v>39</v>
      </c>
      <c r="J25" s="29" t="str">
        <f>IF(G34&lt;=G14,"Well flowing","")</f>
        <v>Well flowing</v>
      </c>
      <c r="K25" s="30"/>
      <c r="L25" s="1"/>
      <c r="M25" s="1"/>
      <c r="N25" s="1"/>
      <c r="O25" s="1"/>
    </row>
    <row r="26" spans="1:40">
      <c r="A26" s="1"/>
      <c r="B26" s="1" t="s">
        <v>40</v>
      </c>
      <c r="C26" s="1"/>
      <c r="D26" s="1"/>
      <c r="E26" s="1"/>
      <c r="F26" s="17" t="s">
        <v>41</v>
      </c>
      <c r="G26" s="27">
        <v>0.1</v>
      </c>
      <c r="H26" s="27"/>
      <c r="I26" s="19" t="s">
        <v>42</v>
      </c>
      <c r="J26" s="29" t="str">
        <f>IF(G34&lt;=G14,"@ shut-in!","")</f>
        <v>@ shut-in!</v>
      </c>
      <c r="K26" s="1"/>
      <c r="L26" s="1"/>
      <c r="M26" s="1"/>
      <c r="N26" s="1"/>
      <c r="O26" s="1"/>
    </row>
    <row r="27" spans="1:40" ht="13.9" customHeight="1">
      <c r="A27" s="1"/>
      <c r="B27" s="1"/>
      <c r="C27" s="1"/>
      <c r="D27" s="1"/>
      <c r="E27" s="1"/>
      <c r="F27" s="20" t="str">
        <f>IF(G33&gt;G12-G13,"         VKH si &gt;TVD-TVC","")</f>
        <v/>
      </c>
      <c r="G27" s="6"/>
      <c r="H27" s="6"/>
      <c r="I27" s="1"/>
      <c r="J27" s="20" t="str">
        <f>IF(G34&lt;=G14,"BHP&lt;PP","")</f>
        <v>BHP&lt;PP</v>
      </c>
      <c r="K27" s="1"/>
      <c r="L27" s="1"/>
      <c r="M27" s="1"/>
      <c r="N27" s="1"/>
      <c r="O27" s="1"/>
    </row>
    <row r="28" spans="1:40">
      <c r="A28" s="1"/>
      <c r="B28" s="31" t="s">
        <v>43</v>
      </c>
      <c r="C28" s="1"/>
      <c r="D28" s="1"/>
      <c r="E28" s="1"/>
      <c r="F28" s="19"/>
      <c r="G28" s="32"/>
      <c r="H28" s="32"/>
      <c r="I28" s="19"/>
      <c r="J28" s="1"/>
      <c r="K28" s="1"/>
      <c r="L28" s="1"/>
      <c r="M28" s="1"/>
      <c r="N28" s="1"/>
      <c r="O28" s="1"/>
    </row>
    <row r="29" spans="1:40">
      <c r="A29" s="1"/>
      <c r="B29" s="19" t="s">
        <v>44</v>
      </c>
      <c r="C29" s="19"/>
      <c r="D29" s="1" t="s">
        <v>45</v>
      </c>
      <c r="E29" s="1"/>
      <c r="F29" s="17" t="s">
        <v>46</v>
      </c>
      <c r="G29" s="33">
        <f>(G20^2-G21^2)/1029.46</f>
        <v>0.12148359334019777</v>
      </c>
      <c r="H29" s="33"/>
      <c r="I29" s="19" t="s">
        <v>47</v>
      </c>
      <c r="J29" s="1"/>
      <c r="K29" s="1"/>
      <c r="L29" s="1"/>
      <c r="M29" s="1"/>
      <c r="N29" s="1"/>
      <c r="O29" s="1"/>
    </row>
    <row r="30" spans="1:40">
      <c r="A30" s="1"/>
      <c r="B30" s="1"/>
      <c r="C30" s="1"/>
      <c r="D30" s="1" t="s">
        <v>48</v>
      </c>
      <c r="E30" s="1"/>
      <c r="F30" s="17" t="s">
        <v>49</v>
      </c>
      <c r="G30" s="33">
        <f>(G20^2-G23^2)/1029.46</f>
        <v>7.5585743982281975E-2</v>
      </c>
      <c r="H30" s="33"/>
      <c r="I30" s="19" t="s">
        <v>47</v>
      </c>
      <c r="J30" s="1"/>
      <c r="K30" s="1"/>
      <c r="L30" s="1"/>
      <c r="M30" s="1"/>
      <c r="N30" s="1"/>
      <c r="O30" s="1"/>
    </row>
    <row r="31" spans="1:40">
      <c r="A31" s="1"/>
      <c r="B31" s="1"/>
      <c r="C31" s="1"/>
      <c r="D31" s="34" t="s">
        <v>50</v>
      </c>
      <c r="E31" s="1"/>
      <c r="F31" s="17" t="s">
        <v>51</v>
      </c>
      <c r="G31" s="35">
        <f>(G12-G13)/COS((G18+G17)/2*3.14159/180)</f>
        <v>4700</v>
      </c>
      <c r="H31" s="35"/>
      <c r="I31" s="19" t="s">
        <v>52</v>
      </c>
      <c r="J31" s="1"/>
      <c r="K31" s="1"/>
      <c r="L31" s="1"/>
      <c r="M31" s="1"/>
      <c r="N31" s="1"/>
      <c r="O31" s="1"/>
    </row>
    <row r="32" spans="1:40">
      <c r="A32" s="1"/>
      <c r="B32" s="19" t="s">
        <v>53</v>
      </c>
      <c r="C32" s="1"/>
      <c r="D32" s="1"/>
      <c r="E32" s="1"/>
      <c r="F32" s="1"/>
      <c r="G32" s="1"/>
      <c r="H32" s="1"/>
      <c r="I32" s="1"/>
      <c r="J32" s="34"/>
      <c r="K32" s="1"/>
      <c r="L32" s="1"/>
      <c r="M32" s="1"/>
      <c r="N32" s="1"/>
      <c r="O32" s="1"/>
    </row>
    <row r="33" spans="1:15">
      <c r="A33" s="1"/>
      <c r="B33" s="1"/>
      <c r="C33" s="34" t="s">
        <v>54</v>
      </c>
      <c r="D33" s="1"/>
      <c r="E33" s="1"/>
      <c r="F33" s="17" t="s">
        <v>55</v>
      </c>
      <c r="G33" s="36">
        <f>COS(G18*3.14159/180)*IF((G25/G30)&lt;G22,G25/G30,G22+(G25-G30*G22)/G29)</f>
        <v>374.59990004997502</v>
      </c>
      <c r="H33" s="36"/>
      <c r="I33" s="19" t="s">
        <v>11</v>
      </c>
      <c r="J33" s="1"/>
      <c r="K33" s="19" t="s">
        <v>20</v>
      </c>
      <c r="L33" s="1"/>
      <c r="M33" s="1"/>
      <c r="N33" s="1"/>
      <c r="O33" s="1"/>
    </row>
    <row r="34" spans="1:15">
      <c r="A34" s="1"/>
      <c r="B34" s="1"/>
      <c r="C34" s="1" t="s">
        <v>56</v>
      </c>
      <c r="D34" s="1"/>
      <c r="E34" s="1"/>
      <c r="F34" s="17" t="s">
        <v>57</v>
      </c>
      <c r="G34" s="36">
        <f>IF(G14&lt;G33*G26+(G12-G33)*G15,G33*G26+(G12-G33)*G15,G14)</f>
        <v>8424</v>
      </c>
      <c r="H34" s="36"/>
      <c r="I34" s="19" t="s">
        <v>22</v>
      </c>
      <c r="J34" s="1"/>
      <c r="K34" s="19"/>
      <c r="L34" s="1"/>
      <c r="M34" s="1"/>
      <c r="N34" s="1"/>
      <c r="O34" s="1"/>
    </row>
    <row r="35" spans="1:15">
      <c r="A35" s="1"/>
      <c r="B35" s="5" t="s">
        <v>58</v>
      </c>
      <c r="C35" s="1" t="s">
        <v>59</v>
      </c>
      <c r="D35" s="1"/>
      <c r="E35" s="1"/>
      <c r="F35" s="17" t="s">
        <v>60</v>
      </c>
      <c r="G35" s="36">
        <f>COS(G17*3.14159/180)*IF(G22&gt;G31,IF(G25/G30&lt;G22,G25/G30,G22+(G25-G30*G22)/G29),IF(G25/G29&lt;G31-G22,G25/G29,IF(G25&lt;(G31-G22)*G29+G22*G30,G31-G22+(G25-(G31-G22)*G29)/G30,G22+(G25-G22*G30)/G29)))</f>
        <v>329.2625687156422</v>
      </c>
      <c r="H35" s="36"/>
      <c r="I35" s="19" t="s">
        <v>11</v>
      </c>
      <c r="J35" s="1"/>
      <c r="K35" s="1"/>
      <c r="L35" s="1"/>
      <c r="M35" s="1"/>
      <c r="N35" s="1"/>
      <c r="O35" s="1"/>
    </row>
    <row r="36" spans="1:15">
      <c r="A36" s="1"/>
      <c r="B36" s="5"/>
      <c r="C36" s="1" t="s">
        <v>61</v>
      </c>
      <c r="D36" s="1"/>
      <c r="E36" s="1"/>
      <c r="F36" s="17" t="s">
        <v>62</v>
      </c>
      <c r="G36" s="36">
        <f>G25*(G34-G26*G33)/G41</f>
        <v>69.666244181048427</v>
      </c>
      <c r="H36" s="36"/>
      <c r="I36" s="19" t="s">
        <v>39</v>
      </c>
      <c r="J36" s="1"/>
      <c r="K36" s="1"/>
      <c r="L36" s="1"/>
      <c r="M36" s="1"/>
      <c r="N36" s="1"/>
      <c r="O36" s="1"/>
    </row>
    <row r="37" spans="1:15">
      <c r="A37" s="1"/>
      <c r="B37" s="5" t="s">
        <v>58</v>
      </c>
      <c r="C37" s="1" t="s">
        <v>63</v>
      </c>
      <c r="D37" s="1"/>
      <c r="E37" s="1"/>
      <c r="F37" s="17" t="s">
        <v>64</v>
      </c>
      <c r="G37" s="36">
        <f>COS(G17*3.14159/180)*IF(G22&gt;G31,IF(G36/G30&lt;G22,G36/G30,G22+(G36-G30*G22)/G29),IF(G36/G29&lt;G31-G22,G36/G29,IF(G36&lt;(G31-G22)*G29+G22*G30,G31-G22+(G36-(G31-G22)*G29)/G30,G22+(G36-G22*G30)/G29)))</f>
        <v>573.46216279557916</v>
      </c>
      <c r="H37" s="36"/>
      <c r="I37" s="19" t="s">
        <v>11</v>
      </c>
      <c r="J37" s="1"/>
      <c r="K37" s="1"/>
      <c r="L37" s="1"/>
      <c r="M37" s="1"/>
      <c r="N37" s="1"/>
      <c r="O37" s="1"/>
    </row>
    <row r="38" spans="1:15">
      <c r="A38" s="1"/>
      <c r="B38" s="5"/>
      <c r="C38" s="1"/>
      <c r="D38" s="1"/>
      <c r="E38" s="1"/>
      <c r="F38" s="17"/>
      <c r="G38" s="36"/>
      <c r="H38" s="36"/>
      <c r="I38" s="19"/>
      <c r="J38" s="1"/>
      <c r="K38" s="1"/>
      <c r="L38" s="1"/>
      <c r="M38" s="1"/>
      <c r="N38" s="1"/>
      <c r="O38" s="1"/>
    </row>
    <row r="39" spans="1:15">
      <c r="A39" s="1"/>
      <c r="B39" s="19" t="s">
        <v>65</v>
      </c>
      <c r="C39" s="1"/>
      <c r="D39" s="1"/>
      <c r="E39" s="1"/>
      <c r="F39" s="17"/>
      <c r="G39" s="37"/>
      <c r="H39" s="37"/>
      <c r="I39" s="19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 t="s">
        <v>66</v>
      </c>
      <c r="E40" s="1"/>
      <c r="F40" s="17" t="s">
        <v>67</v>
      </c>
      <c r="G40" s="36">
        <f>IF(G33&lt;G12-G13,G34-G33*G26-(G12-G13-G33)*G15,G34-(G12-G13)*G26)</f>
        <v>4630.3625631984005</v>
      </c>
      <c r="H40" s="36"/>
      <c r="I40" s="19" t="s">
        <v>22</v>
      </c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 t="s">
        <v>68</v>
      </c>
      <c r="E41" s="1"/>
      <c r="F41" s="17" t="s">
        <v>69</v>
      </c>
      <c r="G41" s="36">
        <f>0.5*(IF((G26*G35+G15*(G12-G35))&lt;G14,G14,G26*G35+G15*(G12-G35))-(G12-G13)*G15-G26*IF(+(G12-G13)&gt;G35,G35,G12-G13))+((0.5*(IF((G26*G35+G15*(G12-G35))&lt;G14,G14,G26*G35+G15*(G12-G35))-(G12-G13)*G15-G26*IF(+(G12-G13)&gt;G35,G35,G12-G13)))^2+((IF((G26*G35+G15*(G12-G35))&lt;G14,G14,G26*G35+G15*(G12-G35))-G26*IF(+(G12-G13)&gt;G35,G35,G12-G13))*G15*IF(+(G12-G13)&gt;G35,G35,G12-G13)))^0.5</f>
        <v>4815.2674848956049</v>
      </c>
      <c r="H41" s="36"/>
      <c r="I41" s="19" t="s">
        <v>22</v>
      </c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7"/>
      <c r="G42" s="36"/>
      <c r="H42" s="36"/>
      <c r="I42" s="19"/>
      <c r="J42" s="1"/>
      <c r="K42" s="1"/>
      <c r="L42" s="1"/>
      <c r="M42" s="1"/>
      <c r="N42" s="1"/>
      <c r="O42" s="1"/>
    </row>
    <row r="43" spans="1:15">
      <c r="A43" s="1"/>
      <c r="B43" s="1" t="s">
        <v>70</v>
      </c>
      <c r="C43" s="1"/>
      <c r="D43" s="1"/>
      <c r="E43" s="1"/>
      <c r="F43" s="17" t="s">
        <v>71</v>
      </c>
      <c r="G43" s="38">
        <f>1/G13*(IF((G26*G33+G15*(G12-G33))&lt;G14,G14,G26*G33+G15*(G12-G33))-IF(G33&gt;(G12-G13),G12-G13,G33)*G26-(G12-G13-IF(G33&gt;(G12-G13),G12-G13,G33))*G15)</f>
        <v>0.87365331381101896</v>
      </c>
      <c r="H43" s="38"/>
      <c r="I43" s="19" t="s">
        <v>19</v>
      </c>
      <c r="J43" s="54">
        <f>G43*19.25</f>
        <v>16.817826290862115</v>
      </c>
      <c r="K43" s="1"/>
      <c r="L43" s="19" t="s">
        <v>20</v>
      </c>
      <c r="M43" s="1"/>
      <c r="N43" s="1"/>
      <c r="O43" s="1"/>
    </row>
    <row r="44" spans="1:15">
      <c r="A44" s="1"/>
      <c r="B44" s="1" t="s">
        <v>72</v>
      </c>
      <c r="C44" s="1"/>
      <c r="D44" s="1"/>
      <c r="E44" s="1"/>
      <c r="F44" s="39" t="s">
        <v>73</v>
      </c>
      <c r="G44" s="40">
        <f>IF(G13=0,"XXXX",G41/G13)</f>
        <v>0.90854103488596316</v>
      </c>
      <c r="H44" s="40"/>
      <c r="I44" s="41" t="s">
        <v>19</v>
      </c>
      <c r="J44" s="55">
        <f>IF(G13=0,"XXXX",G44*19.25)</f>
        <v>17.48941492155479</v>
      </c>
      <c r="K44" s="41" t="s">
        <v>20</v>
      </c>
      <c r="L44" s="19" t="s">
        <v>20</v>
      </c>
      <c r="M44" s="19"/>
      <c r="N44" s="1"/>
      <c r="O44" s="1"/>
    </row>
    <row r="45" spans="1:15">
      <c r="A45" s="1"/>
      <c r="B45" s="1"/>
      <c r="C45" s="1"/>
      <c r="D45" s="1"/>
      <c r="E45" s="1"/>
      <c r="F45" s="42"/>
      <c r="G45" s="20" t="str">
        <f>IF(G15&gt;G44,"Warning! MW &gt; FSG","")</f>
        <v/>
      </c>
      <c r="H45" s="20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20" t="str">
        <f>IF(G43&gt;G44,"Warning! FSG si &gt; FSG exp","")</f>
        <v/>
      </c>
      <c r="H46" s="20"/>
      <c r="I46" s="19"/>
      <c r="J46" s="43"/>
      <c r="K46" s="19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2"/>
      <c r="G47" s="1"/>
      <c r="H47" s="1"/>
      <c r="I47" s="19"/>
      <c r="J47" s="43"/>
      <c r="K47" s="19"/>
      <c r="L47" s="1"/>
      <c r="M47" s="1"/>
      <c r="N47" s="1"/>
      <c r="O47" s="1"/>
    </row>
    <row r="48" spans="1:15">
      <c r="A48" s="1"/>
      <c r="B48" s="19" t="s">
        <v>74</v>
      </c>
      <c r="C48" s="1"/>
      <c r="D48" s="1"/>
      <c r="E48" s="1"/>
      <c r="F48" s="17"/>
      <c r="G48" s="44"/>
      <c r="H48" s="44"/>
      <c r="I48" s="19"/>
      <c r="J48" s="43"/>
      <c r="K48" s="19"/>
      <c r="L48" s="1"/>
      <c r="M48" s="1"/>
      <c r="N48" s="1"/>
      <c r="O48" s="1"/>
    </row>
    <row r="49" spans="1:15">
      <c r="A49" s="1"/>
      <c r="B49" s="19"/>
      <c r="C49" s="1"/>
      <c r="D49" s="1"/>
      <c r="E49" s="1"/>
      <c r="F49" s="17"/>
      <c r="G49" s="44"/>
      <c r="H49" s="44"/>
      <c r="I49" s="19"/>
      <c r="J49" s="43"/>
      <c r="K49" s="19"/>
      <c r="L49" s="1"/>
      <c r="M49" s="1"/>
      <c r="N49" s="1"/>
      <c r="O49" s="1"/>
    </row>
    <row r="50" spans="1:15">
      <c r="A50" s="1"/>
      <c r="B50" s="19" t="s">
        <v>75</v>
      </c>
      <c r="C50" s="1"/>
      <c r="D50" s="1"/>
      <c r="E50" s="1"/>
      <c r="F50" s="17"/>
      <c r="G50" s="44"/>
      <c r="H50" s="44"/>
      <c r="I50" s="19"/>
      <c r="J50" s="43"/>
      <c r="K50" s="19"/>
      <c r="L50" s="1"/>
      <c r="M50" s="1"/>
      <c r="N50" s="1"/>
      <c r="O50" s="1"/>
    </row>
    <row r="51" spans="1:15">
      <c r="A51" s="1"/>
      <c r="B51" s="19" t="s">
        <v>76</v>
      </c>
      <c r="C51" s="1"/>
      <c r="D51" s="1"/>
      <c r="E51" s="1"/>
      <c r="F51" s="17"/>
      <c r="G51" s="44"/>
      <c r="H51" s="44"/>
      <c r="I51" s="19"/>
      <c r="J51" s="43"/>
      <c r="K51" s="19"/>
      <c r="L51" s="1"/>
      <c r="M51" s="1"/>
      <c r="N51" s="1"/>
      <c r="O51" s="1"/>
    </row>
    <row r="52" spans="1:15">
      <c r="A52" s="1"/>
      <c r="B52" s="19" t="s">
        <v>77</v>
      </c>
      <c r="C52" s="1"/>
      <c r="D52" s="1"/>
      <c r="E52" s="1"/>
      <c r="F52" s="17"/>
      <c r="G52" s="44"/>
      <c r="H52" s="44"/>
      <c r="I52" s="19"/>
      <c r="J52" s="43"/>
      <c r="K52" s="19"/>
      <c r="L52" s="1"/>
      <c r="M52" s="1"/>
      <c r="N52" s="1"/>
      <c r="O52" s="1"/>
    </row>
    <row r="53" spans="1:15">
      <c r="A53" s="1"/>
      <c r="B53" s="19" t="s">
        <v>78</v>
      </c>
      <c r="C53" s="1"/>
      <c r="D53" s="1"/>
      <c r="E53" s="1"/>
      <c r="F53" s="17"/>
      <c r="G53" s="44"/>
      <c r="H53" s="44"/>
      <c r="I53" s="19"/>
      <c r="J53" s="43"/>
      <c r="K53" s="19"/>
      <c r="L53" s="1"/>
      <c r="M53" s="1"/>
      <c r="N53" s="1"/>
      <c r="O53" s="1"/>
    </row>
    <row r="54" spans="1:15">
      <c r="A54" s="1"/>
      <c r="B54" s="19" t="s">
        <v>79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9" t="s">
        <v>80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9" t="s">
        <v>81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9" t="s">
        <v>82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9" t="s">
        <v>83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9" t="s">
        <v>84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9" t="s">
        <v>85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9" t="s">
        <v>86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9" t="s">
        <v>87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9" t="s">
        <v>88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9" t="s">
        <v>89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 t="s">
        <v>91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 t="s">
        <v>92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 t="s">
        <v>93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 t="s">
        <v>94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 t="s">
        <v>95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 t="s">
        <v>96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9" t="s">
        <v>97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 t="s">
        <v>98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 t="s">
        <v>99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 t="s">
        <v>100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 t="s">
        <v>101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 t="s">
        <v>102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 t="s">
        <v>103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 t="s">
        <v>104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 t="s">
        <v>105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 t="s">
        <v>106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 t="s">
        <v>107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 t="s">
        <v>108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9" t="s">
        <v>109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 t="s">
        <v>110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 t="s">
        <v>111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9" t="s">
        <v>112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 t="s">
        <v>113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9" t="s">
        <v>114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 t="s">
        <v>115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9" t="s">
        <v>116</v>
      </c>
      <c r="D97" s="10"/>
      <c r="E97" s="10"/>
      <c r="F97" s="10"/>
      <c r="G97" s="10"/>
      <c r="H97" s="10"/>
      <c r="I97" s="11"/>
      <c r="J97" s="1"/>
      <c r="K97" s="1"/>
      <c r="L97" s="1"/>
      <c r="M97" s="1"/>
      <c r="N97" s="1"/>
      <c r="O97" s="1"/>
    </row>
    <row r="98" spans="1:15">
      <c r="A98" s="1"/>
      <c r="B98" s="1"/>
      <c r="C98" s="45" t="s">
        <v>117</v>
      </c>
      <c r="D98" s="1"/>
      <c r="E98" s="1"/>
      <c r="F98" s="1"/>
      <c r="G98" s="1"/>
      <c r="H98" s="1"/>
      <c r="I98" s="46"/>
      <c r="J98" s="1"/>
      <c r="K98" s="1"/>
      <c r="L98" s="1"/>
      <c r="M98" s="1"/>
      <c r="N98" s="1"/>
      <c r="O98" s="1"/>
    </row>
    <row r="99" spans="1:15">
      <c r="A99" s="1"/>
      <c r="B99" s="1"/>
      <c r="C99" s="12" t="s">
        <v>118</v>
      </c>
      <c r="D99" s="13"/>
      <c r="E99" s="13"/>
      <c r="F99" s="13"/>
      <c r="G99" s="13"/>
      <c r="H99" s="13"/>
      <c r="I99" s="14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2">
    <mergeCell ref="AG16:AI16"/>
    <mergeCell ref="AK23:AM23"/>
  </mergeCells>
  <pageMargins left="0.75" right="0.75" top="1" bottom="1" header="0.5" footer="0.5"/>
  <pageSetup orientation="portrait" horizontalDpi="120" verticalDpi="7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00"/>
  <sheetViews>
    <sheetView topLeftCell="A10" zoomScale="68" zoomScaleNormal="68" workbookViewId="0">
      <selection activeCell="Y41" sqref="Y41"/>
    </sheetView>
  </sheetViews>
  <sheetFormatPr defaultColWidth="2.765625" defaultRowHeight="15.5"/>
  <cols>
    <col min="1" max="1" width="1.765625" customWidth="1"/>
    <col min="2" max="2" width="6.765625" customWidth="1"/>
    <col min="3" max="4" width="8.765625" customWidth="1"/>
    <col min="5" max="5" width="12.765625" customWidth="1"/>
    <col min="6" max="6" width="10.23046875" customWidth="1"/>
    <col min="7" max="7" width="7.765625" customWidth="1"/>
    <col min="8" max="8" width="7.53515625" customWidth="1"/>
    <col min="9" max="9" width="8.07421875" customWidth="1"/>
    <col min="10" max="10" width="6.765625" customWidth="1"/>
    <col min="11" max="11" width="0" hidden="1" customWidth="1"/>
    <col min="25" max="25" width="4" bestFit="1" customWidth="1"/>
  </cols>
  <sheetData>
    <row r="1" spans="1:40" ht="12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0" ht="12" customHeight="1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40" ht="21" customHeight="1" thickBot="1">
      <c r="A3" s="1"/>
      <c r="B3" s="3" t="s">
        <v>0</v>
      </c>
      <c r="C3" s="4"/>
      <c r="D3" s="1"/>
      <c r="E3" s="5" t="s">
        <v>1</v>
      </c>
      <c r="F3" s="6" t="str">
        <f>'20in Casing with 50 bbl'!F3</f>
        <v>JDS-21-01</v>
      </c>
      <c r="G3" s="6"/>
      <c r="H3" s="6"/>
      <c r="I3" s="1"/>
      <c r="J3" s="1"/>
      <c r="K3" s="1"/>
      <c r="L3" s="1"/>
      <c r="M3" s="1"/>
      <c r="N3" s="1"/>
      <c r="O3" s="1"/>
    </row>
    <row r="4" spans="1:40" ht="19" customHeight="1">
      <c r="A4" s="1"/>
      <c r="B4" s="1" t="s">
        <v>2</v>
      </c>
      <c r="C4" s="1"/>
      <c r="D4" s="1"/>
      <c r="E4" s="5" t="s">
        <v>3</v>
      </c>
      <c r="F4" s="6" t="str">
        <f>'20in Casing with 50 bbl'!F4</f>
        <v>TBA</v>
      </c>
      <c r="G4" s="6"/>
      <c r="H4" s="6"/>
      <c r="I4" s="1"/>
      <c r="J4" s="1"/>
      <c r="K4" s="1"/>
      <c r="L4" s="1"/>
      <c r="M4" s="1"/>
      <c r="N4" s="1"/>
      <c r="O4" s="1"/>
    </row>
    <row r="5" spans="1:40" ht="21" customHeight="1">
      <c r="A5" s="1"/>
      <c r="B5" s="1"/>
      <c r="C5" s="1"/>
      <c r="D5" s="1"/>
      <c r="E5" s="5" t="s">
        <v>4</v>
      </c>
      <c r="F5" s="57">
        <f>'20in Casing with 50 bbl'!F5</f>
        <v>44487</v>
      </c>
      <c r="G5" s="6"/>
      <c r="H5" s="6"/>
      <c r="I5" s="1"/>
      <c r="J5" s="1"/>
      <c r="K5" s="1"/>
      <c r="L5" s="1"/>
      <c r="M5" s="1"/>
      <c r="N5" s="1"/>
      <c r="O5" s="1"/>
    </row>
    <row r="6" spans="1:40" ht="21" customHeight="1">
      <c r="A6" s="1"/>
      <c r="B6" s="1"/>
      <c r="C6" s="1"/>
      <c r="D6" s="1"/>
      <c r="E6" s="5" t="s">
        <v>5</v>
      </c>
      <c r="F6" s="6" t="str">
        <f>'20in Casing with 50 bbl'!F6</f>
        <v>JDS-21</v>
      </c>
      <c r="G6" s="6"/>
      <c r="H6" s="6"/>
      <c r="I6" s="1"/>
      <c r="J6" s="1"/>
      <c r="K6" s="1"/>
      <c r="L6" s="1"/>
      <c r="M6" s="1"/>
      <c r="N6" s="1"/>
      <c r="O6" s="1"/>
    </row>
    <row r="7" spans="1:40" ht="16" customHeight="1">
      <c r="A7" s="1"/>
      <c r="B7" s="1"/>
      <c r="C7" s="1"/>
      <c r="D7" s="1"/>
      <c r="E7" s="5"/>
      <c r="F7" s="8"/>
      <c r="G7" s="6"/>
      <c r="H7" s="6"/>
      <c r="I7" s="1"/>
      <c r="J7" s="1"/>
      <c r="K7" s="1"/>
      <c r="L7" s="1"/>
      <c r="M7" s="1"/>
      <c r="N7" s="1"/>
      <c r="O7" s="1"/>
    </row>
    <row r="8" spans="1:40">
      <c r="A8" s="1"/>
      <c r="B8" s="9" t="s">
        <v>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"/>
    </row>
    <row r="9" spans="1:40">
      <c r="A9" s="1"/>
      <c r="B9" s="12" t="s">
        <v>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"/>
    </row>
    <row r="10" spans="1:4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40">
      <c r="A11" s="1"/>
      <c r="B11" s="15" t="s">
        <v>8</v>
      </c>
      <c r="C11" s="1"/>
      <c r="D11" s="1"/>
      <c r="E11" s="1"/>
      <c r="F11" s="1"/>
      <c r="G11" s="16"/>
      <c r="H11" s="16"/>
      <c r="I11" s="1"/>
      <c r="J11" s="1"/>
      <c r="K11" s="1"/>
      <c r="L11" s="1"/>
      <c r="M11" s="1"/>
      <c r="N11" s="1"/>
      <c r="O11" s="1"/>
    </row>
    <row r="12" spans="1:40">
      <c r="A12" s="1"/>
      <c r="B12" s="1" t="s">
        <v>9</v>
      </c>
      <c r="C12" s="1"/>
      <c r="D12" s="1"/>
      <c r="E12" s="1"/>
      <c r="F12" s="17" t="s">
        <v>10</v>
      </c>
      <c r="G12" s="18">
        <v>12000</v>
      </c>
      <c r="H12" s="19" t="s">
        <v>11</v>
      </c>
      <c r="I12" s="47"/>
      <c r="K12" s="1"/>
      <c r="L12" s="1"/>
      <c r="M12" s="1"/>
      <c r="N12" s="1"/>
      <c r="O12" s="1"/>
    </row>
    <row r="13" spans="1:40">
      <c r="A13" s="1"/>
      <c r="B13" s="1" t="s">
        <v>12</v>
      </c>
      <c r="C13" s="1"/>
      <c r="D13" s="1"/>
      <c r="E13" s="1"/>
      <c r="F13" s="17" t="s">
        <v>13</v>
      </c>
      <c r="G13" s="18">
        <v>10000</v>
      </c>
      <c r="H13" s="19" t="s">
        <v>11</v>
      </c>
      <c r="I13" s="47"/>
      <c r="K13" s="1"/>
      <c r="L13" s="1"/>
      <c r="M13" s="1"/>
      <c r="N13" s="1"/>
      <c r="O13" s="1"/>
      <c r="AI13" s="58"/>
      <c r="AJ13" s="62"/>
      <c r="AK13" s="62"/>
      <c r="AL13" s="62"/>
      <c r="AM13" s="60"/>
    </row>
    <row r="14" spans="1:40">
      <c r="A14" s="1"/>
      <c r="B14" s="1" t="s">
        <v>14</v>
      </c>
      <c r="C14" s="1"/>
      <c r="D14" s="1"/>
      <c r="E14" s="1"/>
      <c r="F14" s="17" t="s">
        <v>15</v>
      </c>
      <c r="G14" s="18">
        <f>9*0.052*G12</f>
        <v>5616</v>
      </c>
      <c r="H14" s="18"/>
      <c r="I14" s="19" t="s">
        <v>16</v>
      </c>
      <c r="J14" s="20"/>
      <c r="K14" s="19"/>
      <c r="L14" s="1"/>
      <c r="M14" s="1"/>
      <c r="N14" s="1"/>
      <c r="O14" s="1"/>
      <c r="AI14" s="58"/>
      <c r="AJ14" s="62"/>
      <c r="AK14" s="62"/>
      <c r="AL14" s="62"/>
      <c r="AM14" s="60"/>
    </row>
    <row r="15" spans="1:40">
      <c r="A15" s="1"/>
      <c r="B15" s="1" t="s">
        <v>17</v>
      </c>
      <c r="C15" s="1"/>
      <c r="D15" s="1"/>
      <c r="E15" s="1"/>
      <c r="F15" s="17" t="s">
        <v>18</v>
      </c>
      <c r="G15" s="21">
        <f>16.7*0.052</f>
        <v>0.86839999999999995</v>
      </c>
      <c r="H15" s="21"/>
      <c r="I15" s="19" t="s">
        <v>19</v>
      </c>
      <c r="J15" s="53">
        <f>G15*19.25</f>
        <v>16.716699999999999</v>
      </c>
      <c r="K15" s="19" t="s">
        <v>20</v>
      </c>
      <c r="L15" s="19" t="s">
        <v>20</v>
      </c>
      <c r="M15" s="1"/>
      <c r="N15" s="1"/>
      <c r="O15" s="1"/>
      <c r="AI15" s="58"/>
      <c r="AJ15" s="62"/>
      <c r="AK15" s="62"/>
      <c r="AL15" s="62"/>
      <c r="AM15" s="60"/>
    </row>
    <row r="16" spans="1:40" ht="16" thickBot="1">
      <c r="A16" s="1"/>
      <c r="B16" s="1"/>
      <c r="C16" s="1"/>
      <c r="D16" s="1"/>
      <c r="E16" s="1"/>
      <c r="F16" s="17"/>
      <c r="G16" s="1"/>
      <c r="H16" s="1"/>
      <c r="I16" s="17" t="s">
        <v>21</v>
      </c>
      <c r="J16" s="22">
        <f>G15*G12-G14</f>
        <v>4804.7999999999993</v>
      </c>
      <c r="K16" s="1"/>
      <c r="L16" s="19" t="s">
        <v>22</v>
      </c>
      <c r="M16" s="1"/>
      <c r="N16" s="1"/>
      <c r="O16" s="1"/>
      <c r="AF16" s="88">
        <v>10000</v>
      </c>
      <c r="AG16" s="88"/>
      <c r="AH16" s="88"/>
      <c r="AI16" s="59"/>
      <c r="AJ16" s="62"/>
      <c r="AK16" s="62"/>
      <c r="AL16" s="62"/>
      <c r="AM16" s="61"/>
      <c r="AN16" s="65" t="s">
        <v>126</v>
      </c>
    </row>
    <row r="17" spans="1:39" ht="16" thickTop="1">
      <c r="A17" s="1"/>
      <c r="B17" s="1" t="s">
        <v>23</v>
      </c>
      <c r="C17" s="1"/>
      <c r="D17" s="1"/>
      <c r="E17" s="1"/>
      <c r="F17" s="17" t="s">
        <v>24</v>
      </c>
      <c r="G17" s="18">
        <v>0</v>
      </c>
      <c r="H17" s="18"/>
      <c r="I17" s="19" t="s">
        <v>25</v>
      </c>
      <c r="J17" s="1"/>
      <c r="K17" s="1"/>
      <c r="L17" s="1"/>
      <c r="M17" s="1"/>
      <c r="N17" s="1"/>
      <c r="O17" s="1"/>
      <c r="AJ17" s="63"/>
      <c r="AK17" s="62"/>
      <c r="AL17" s="64"/>
    </row>
    <row r="18" spans="1:39">
      <c r="A18" s="1"/>
      <c r="B18" s="1" t="s">
        <v>26</v>
      </c>
      <c r="C18" s="1"/>
      <c r="D18" s="1"/>
      <c r="E18" s="1"/>
      <c r="F18" s="17" t="s">
        <v>27</v>
      </c>
      <c r="G18" s="18">
        <v>0</v>
      </c>
      <c r="H18" s="18"/>
      <c r="I18" s="19" t="s">
        <v>25</v>
      </c>
      <c r="J18" s="1"/>
      <c r="K18" s="23"/>
      <c r="L18" s="1"/>
      <c r="M18" s="1"/>
      <c r="N18" s="1"/>
      <c r="O18" s="1"/>
      <c r="AJ18" s="63"/>
      <c r="AK18" s="62"/>
      <c r="AL18" s="64"/>
    </row>
    <row r="19" spans="1:3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AJ19" s="63"/>
      <c r="AK19" s="62"/>
      <c r="AL19" s="64"/>
      <c r="AM19" s="65" t="s">
        <v>127</v>
      </c>
    </row>
    <row r="20" spans="1:39">
      <c r="A20" s="1"/>
      <c r="B20" s="1" t="s">
        <v>28</v>
      </c>
      <c r="C20" s="1"/>
      <c r="D20" s="1"/>
      <c r="E20" s="1"/>
      <c r="F20" s="17" t="s">
        <v>29</v>
      </c>
      <c r="G20" s="49">
        <v>8.5</v>
      </c>
      <c r="H20" s="24"/>
      <c r="I20" s="19" t="s">
        <v>30</v>
      </c>
      <c r="J20" s="1"/>
      <c r="K20" s="1"/>
      <c r="L20" s="1"/>
      <c r="M20" s="1"/>
      <c r="N20" s="1"/>
      <c r="O20" s="1"/>
      <c r="AJ20" s="63"/>
      <c r="AK20" s="62"/>
      <c r="AL20" s="64"/>
    </row>
    <row r="21" spans="1:39">
      <c r="A21" s="1"/>
      <c r="B21" s="1" t="s">
        <v>31</v>
      </c>
      <c r="C21" s="1"/>
      <c r="D21" s="1"/>
      <c r="E21" s="1"/>
      <c r="F21" s="17" t="s">
        <v>32</v>
      </c>
      <c r="G21" s="50">
        <v>5</v>
      </c>
      <c r="H21" s="25"/>
      <c r="I21" s="19" t="s">
        <v>30</v>
      </c>
      <c r="J21" s="1"/>
      <c r="K21" s="1"/>
      <c r="L21" s="1"/>
      <c r="M21" s="1"/>
      <c r="N21" s="1"/>
      <c r="O21" s="1"/>
      <c r="AJ21" s="63"/>
      <c r="AK21" s="62"/>
      <c r="AL21" s="64"/>
    </row>
    <row r="22" spans="1:39">
      <c r="A22" s="1"/>
      <c r="B22" s="1" t="s">
        <v>33</v>
      </c>
      <c r="C22" s="1"/>
      <c r="D22" s="1"/>
      <c r="E22" s="1"/>
      <c r="F22" s="17" t="s">
        <v>34</v>
      </c>
      <c r="G22" s="51">
        <v>120</v>
      </c>
      <c r="H22" s="26"/>
      <c r="I22" s="19" t="s">
        <v>11</v>
      </c>
      <c r="J22" s="1"/>
      <c r="K22" s="1"/>
      <c r="L22" s="1"/>
      <c r="M22" s="1"/>
      <c r="N22" s="1"/>
      <c r="O22" s="1"/>
      <c r="AJ22" s="63"/>
      <c r="AK22" s="62"/>
      <c r="AL22" s="64"/>
    </row>
    <row r="23" spans="1:39">
      <c r="A23" s="1"/>
      <c r="B23" s="1" t="s">
        <v>35</v>
      </c>
      <c r="C23" s="1"/>
      <c r="D23" s="1"/>
      <c r="E23" s="1"/>
      <c r="F23" s="17" t="s">
        <v>36</v>
      </c>
      <c r="G23" s="52">
        <v>6.5</v>
      </c>
      <c r="H23" s="27"/>
      <c r="I23" s="19" t="s">
        <v>30</v>
      </c>
      <c r="J23" s="1"/>
      <c r="K23" s="1"/>
      <c r="L23" s="1"/>
      <c r="M23" s="1"/>
      <c r="N23" s="1"/>
      <c r="O23" s="1"/>
      <c r="AJ23" s="95">
        <v>12000</v>
      </c>
      <c r="AK23" s="85"/>
      <c r="AL23" s="86"/>
      <c r="AM23" s="1" t="s">
        <v>9</v>
      </c>
    </row>
    <row r="24" spans="1:39">
      <c r="A24" s="1"/>
      <c r="B24" s="1"/>
      <c r="C24" s="1"/>
      <c r="D24" s="1"/>
      <c r="E24" s="1"/>
      <c r="F24" s="17"/>
      <c r="G24" s="27"/>
      <c r="H24" s="27"/>
      <c r="I24" s="19"/>
      <c r="J24" s="1"/>
      <c r="K24" s="1"/>
      <c r="L24" s="1"/>
      <c r="M24" s="1"/>
      <c r="N24" s="1"/>
      <c r="O24" s="1"/>
    </row>
    <row r="25" spans="1:39">
      <c r="A25" s="1"/>
      <c r="B25" s="1" t="s">
        <v>37</v>
      </c>
      <c r="C25" s="1"/>
      <c r="D25" s="28"/>
      <c r="E25" s="1"/>
      <c r="F25" s="17" t="s">
        <v>38</v>
      </c>
      <c r="G25" s="48">
        <v>40</v>
      </c>
      <c r="H25" s="18"/>
      <c r="I25" s="19" t="s">
        <v>39</v>
      </c>
      <c r="J25" s="29" t="str">
        <f>IF(G34&lt;=G14,"Well flowing","")</f>
        <v/>
      </c>
      <c r="K25" s="30"/>
      <c r="L25" s="1"/>
      <c r="M25" s="1"/>
      <c r="N25" s="1"/>
      <c r="O25" s="1"/>
    </row>
    <row r="26" spans="1:39">
      <c r="A26" s="1"/>
      <c r="B26" s="1" t="s">
        <v>40</v>
      </c>
      <c r="C26" s="1"/>
      <c r="D26" s="1"/>
      <c r="E26" s="1"/>
      <c r="F26" s="17" t="s">
        <v>41</v>
      </c>
      <c r="G26" s="27">
        <v>0.1</v>
      </c>
      <c r="H26" s="27"/>
      <c r="I26" s="19" t="s">
        <v>42</v>
      </c>
      <c r="J26" s="29" t="str">
        <f>IF(G34&lt;=G14,"@ shut-in!","")</f>
        <v/>
      </c>
      <c r="K26" s="1"/>
      <c r="L26" s="1"/>
      <c r="M26" s="1"/>
      <c r="N26" s="1"/>
      <c r="O26" s="1"/>
    </row>
    <row r="27" spans="1:39" ht="13.9" customHeight="1">
      <c r="A27" s="1"/>
      <c r="B27" s="1"/>
      <c r="C27" s="1"/>
      <c r="D27" s="1"/>
      <c r="E27" s="1"/>
      <c r="F27" s="20" t="str">
        <f>IF(G33&gt;G12-G13,"         VKH si &gt;TVD-TVC","")</f>
        <v/>
      </c>
      <c r="G27" s="6"/>
      <c r="H27" s="6"/>
      <c r="I27" s="1"/>
      <c r="J27" s="20" t="str">
        <f>IF(G34&lt;=G14,"BHP&lt;PP","")</f>
        <v/>
      </c>
      <c r="K27" s="1"/>
      <c r="L27" s="1"/>
      <c r="M27" s="1"/>
      <c r="N27" s="1"/>
      <c r="O27" s="1"/>
    </row>
    <row r="28" spans="1:39">
      <c r="A28" s="1"/>
      <c r="B28" s="31" t="s">
        <v>43</v>
      </c>
      <c r="C28" s="1"/>
      <c r="D28" s="1"/>
      <c r="E28" s="1"/>
      <c r="F28" s="19"/>
      <c r="G28" s="32"/>
      <c r="H28" s="32"/>
      <c r="I28" s="19"/>
      <c r="J28" s="1"/>
      <c r="K28" s="1"/>
      <c r="L28" s="1"/>
      <c r="M28" s="1"/>
      <c r="N28" s="1"/>
      <c r="O28" s="1"/>
    </row>
    <row r="29" spans="1:39">
      <c r="A29" s="1"/>
      <c r="B29" s="19" t="s">
        <v>44</v>
      </c>
      <c r="C29" s="19"/>
      <c r="D29" s="1" t="s">
        <v>45</v>
      </c>
      <c r="E29" s="1"/>
      <c r="F29" s="17" t="s">
        <v>46</v>
      </c>
      <c r="G29" s="33">
        <f>(G20^2-G21^2)/1029.46</f>
        <v>4.5897849357915799E-2</v>
      </c>
      <c r="H29" s="33"/>
      <c r="I29" s="19" t="s">
        <v>47</v>
      </c>
      <c r="J29" s="1"/>
      <c r="K29" s="1"/>
      <c r="L29" s="1"/>
      <c r="M29" s="1"/>
      <c r="N29" s="1"/>
      <c r="O29" s="1"/>
    </row>
    <row r="30" spans="1:39">
      <c r="A30" s="1"/>
      <c r="B30" s="1"/>
      <c r="C30" s="1"/>
      <c r="D30" s="1" t="s">
        <v>48</v>
      </c>
      <c r="E30" s="1"/>
      <c r="F30" s="17" t="s">
        <v>49</v>
      </c>
      <c r="G30" s="33">
        <f>(G20^2-G23^2)/1029.46</f>
        <v>2.9141491655819553E-2</v>
      </c>
      <c r="H30" s="33"/>
      <c r="I30" s="19" t="s">
        <v>47</v>
      </c>
      <c r="J30" s="1"/>
      <c r="K30" s="1"/>
      <c r="L30" s="1"/>
      <c r="M30" s="1"/>
      <c r="N30" s="1"/>
      <c r="O30" s="1"/>
    </row>
    <row r="31" spans="1:39">
      <c r="A31" s="1"/>
      <c r="B31" s="1"/>
      <c r="C31" s="1"/>
      <c r="D31" s="34" t="s">
        <v>50</v>
      </c>
      <c r="E31" s="1"/>
      <c r="F31" s="17" t="s">
        <v>51</v>
      </c>
      <c r="G31" s="35">
        <f>(G12-G13)/COS((G18+G17)/2*3.14159/180)</f>
        <v>2000</v>
      </c>
      <c r="H31" s="35"/>
      <c r="I31" s="19" t="s">
        <v>52</v>
      </c>
      <c r="J31" s="1"/>
      <c r="K31" s="1"/>
      <c r="L31" s="1"/>
      <c r="M31" s="1"/>
      <c r="N31" s="1"/>
      <c r="O31" s="1"/>
    </row>
    <row r="32" spans="1:39">
      <c r="A32" s="1"/>
      <c r="B32" s="19" t="s">
        <v>53</v>
      </c>
      <c r="C32" s="1"/>
      <c r="D32" s="1"/>
      <c r="E32" s="1"/>
      <c r="F32" s="1"/>
      <c r="G32" s="1"/>
      <c r="H32" s="1"/>
      <c r="I32" s="1"/>
      <c r="J32" s="34"/>
      <c r="K32" s="1"/>
      <c r="L32" s="1"/>
      <c r="M32" s="1"/>
      <c r="N32" s="1"/>
      <c r="O32" s="1"/>
    </row>
    <row r="33" spans="1:25">
      <c r="A33" s="1"/>
      <c r="B33" s="1"/>
      <c r="C33" s="34" t="s">
        <v>54</v>
      </c>
      <c r="D33" s="1"/>
      <c r="E33" s="1"/>
      <c r="F33" s="17" t="s">
        <v>55</v>
      </c>
      <c r="G33" s="36">
        <f>COS(G18*3.14159/180)*IF((G25/G30)&lt;G22,G25/G30,G22+(G25-G30*G22)/G29)</f>
        <v>915.31005291005295</v>
      </c>
      <c r="H33" s="36"/>
      <c r="I33" s="19" t="s">
        <v>11</v>
      </c>
      <c r="J33" s="1"/>
      <c r="K33" s="19" t="s">
        <v>20</v>
      </c>
      <c r="L33" s="1"/>
      <c r="M33" s="1"/>
      <c r="N33" s="1"/>
      <c r="O33" s="1"/>
    </row>
    <row r="34" spans="1:25">
      <c r="A34" s="1"/>
      <c r="B34" s="1"/>
      <c r="C34" s="1" t="s">
        <v>56</v>
      </c>
      <c r="D34" s="1"/>
      <c r="E34" s="1"/>
      <c r="F34" s="17" t="s">
        <v>57</v>
      </c>
      <c r="G34" s="36">
        <f>IF(G14&lt;G33*G26+(G12-G33)*G15,G33*G26+(G12-G33)*G15,G14)</f>
        <v>9717.475755343914</v>
      </c>
      <c r="H34" s="36"/>
      <c r="I34" s="19" t="s">
        <v>22</v>
      </c>
      <c r="J34" s="1"/>
      <c r="K34" s="19"/>
      <c r="L34" s="1"/>
      <c r="M34" s="1"/>
      <c r="N34" s="1"/>
      <c r="O34" s="1"/>
    </row>
    <row r="35" spans="1:25">
      <c r="A35" s="1"/>
      <c r="B35" s="5" t="s">
        <v>58</v>
      </c>
      <c r="C35" s="1" t="s">
        <v>59</v>
      </c>
      <c r="D35" s="1"/>
      <c r="E35" s="1"/>
      <c r="F35" s="17" t="s">
        <v>60</v>
      </c>
      <c r="G35" s="36">
        <f>COS(G17*3.14159/180)*IF(G22&gt;G31,IF(G25/G30&lt;G22,G25/G30,G22+(G25-G30*G22)/G29),IF(G25/G29&lt;G31-G22,G25/G29,IF(G25&lt;(G31-G22)*G29+G22*G30,G31-G22+(G25-(G31-G22)*G29)/G30,G22+(G25-G22*G30)/G29)))</f>
        <v>871.50052910052909</v>
      </c>
      <c r="H35" s="36"/>
      <c r="I35" s="19" t="s">
        <v>11</v>
      </c>
      <c r="J35" s="1"/>
      <c r="K35" s="1"/>
      <c r="L35" s="1"/>
      <c r="M35" s="1"/>
      <c r="N35" s="1"/>
      <c r="O35" s="1"/>
    </row>
    <row r="36" spans="1:25">
      <c r="A36" s="1"/>
      <c r="B36" s="5"/>
      <c r="C36" s="1" t="s">
        <v>61</v>
      </c>
      <c r="D36" s="1"/>
      <c r="E36" s="1"/>
      <c r="F36" s="17" t="s">
        <v>62</v>
      </c>
      <c r="G36" s="36">
        <f>G25*(G34-G26*G33)/G41</f>
        <v>43.944471231138031</v>
      </c>
      <c r="H36" s="36"/>
      <c r="I36" s="19" t="s">
        <v>39</v>
      </c>
      <c r="J36" s="1"/>
      <c r="K36" s="1"/>
      <c r="L36" s="1"/>
      <c r="M36" s="1"/>
      <c r="N36" s="1"/>
      <c r="O36" s="1"/>
    </row>
    <row r="37" spans="1:25">
      <c r="A37" s="1"/>
      <c r="B37" s="5" t="s">
        <v>58</v>
      </c>
      <c r="C37" s="1" t="s">
        <v>63</v>
      </c>
      <c r="D37" s="1"/>
      <c r="E37" s="1"/>
      <c r="F37" s="17" t="s">
        <v>64</v>
      </c>
      <c r="G37" s="36">
        <f>COS(G17*3.14159/180)*IF(G22&gt;G31,IF(G36/G30&lt;G22,G36/G30,G22+(G36-G30*G22)/G29),IF(G36/G29&lt;G31-G22,G36/G29,IF(G36&lt;(G31-G22)*G29+G22*G30,G31-G22+(G36-(G31-G22)*G29)/G30,G22+(G36-G22*G30)/G29)))</f>
        <v>957.44074822449443</v>
      </c>
      <c r="H37" s="36"/>
      <c r="I37" s="19" t="s">
        <v>11</v>
      </c>
      <c r="J37" s="1"/>
      <c r="K37" s="1"/>
      <c r="L37" s="1"/>
      <c r="M37" s="1"/>
      <c r="N37" s="1"/>
      <c r="O37" s="1"/>
    </row>
    <row r="38" spans="1:25">
      <c r="A38" s="1"/>
      <c r="B38" s="5"/>
      <c r="C38" s="1"/>
      <c r="D38" s="1"/>
      <c r="E38" s="1"/>
      <c r="F38" s="17"/>
      <c r="G38" s="36"/>
      <c r="H38" s="36"/>
      <c r="I38" s="19"/>
      <c r="J38" s="1"/>
      <c r="K38" s="1"/>
      <c r="L38" s="1"/>
      <c r="M38" s="1"/>
      <c r="N38" s="1"/>
      <c r="O38" s="1"/>
    </row>
    <row r="39" spans="1:25">
      <c r="A39" s="1"/>
      <c r="B39" s="19" t="s">
        <v>65</v>
      </c>
      <c r="C39" s="1"/>
      <c r="D39" s="1"/>
      <c r="E39" s="1"/>
      <c r="F39" s="17"/>
      <c r="G39" s="37"/>
      <c r="H39" s="37"/>
      <c r="I39" s="19"/>
      <c r="J39" s="1"/>
      <c r="K39" s="1"/>
      <c r="L39" s="1"/>
      <c r="M39" s="1"/>
      <c r="N39" s="1"/>
      <c r="O39" s="1"/>
    </row>
    <row r="40" spans="1:25">
      <c r="A40" s="1"/>
      <c r="B40" s="1"/>
      <c r="C40" s="1"/>
      <c r="D40" s="1" t="s">
        <v>66</v>
      </c>
      <c r="E40" s="1"/>
      <c r="F40" s="17" t="s">
        <v>67</v>
      </c>
      <c r="G40" s="36">
        <f>IF(G33&lt;G12-G13,G34-G33*G26-(G12-G13-G33)*G15,G34-(G12-G13)*G26)</f>
        <v>8684</v>
      </c>
      <c r="H40" s="36"/>
      <c r="I40" s="19" t="s">
        <v>22</v>
      </c>
      <c r="J40" s="1"/>
      <c r="K40" s="1"/>
      <c r="L40" s="1"/>
      <c r="M40" s="1"/>
      <c r="N40" s="1"/>
      <c r="O40" s="1"/>
      <c r="Y40" s="65" t="s">
        <v>129</v>
      </c>
    </row>
    <row r="41" spans="1:25">
      <c r="A41" s="1"/>
      <c r="B41" s="1"/>
      <c r="C41" s="1"/>
      <c r="D41" s="1" t="s">
        <v>68</v>
      </c>
      <c r="E41" s="1"/>
      <c r="F41" s="17" t="s">
        <v>69</v>
      </c>
      <c r="G41" s="36">
        <f>0.5*(IF((G26*G35+G15*(G12-G35))&lt;G14,G14,G26*G35+G15*(G12-G35))-(G12-G13)*G15-G26*IF(+(G12-G13)&gt;G35,G35,G12-G13))+((0.5*(IF((G26*G35+G15*(G12-G35))&lt;G14,G14,G26*G35+G15*(G12-G35))-(G12-G13)*G15-G26*IF(+(G12-G13)&gt;G35,G35,G12-G13)))^2+((IF((G26*G35+G15*(G12-G35))&lt;G14,G14,G26*G35+G15*(G12-G35))-G26*IF(+(G12-G13)&gt;G35,G35,G12-G13))*G15*IF(+(G12-G13)&gt;G35,G35,G12-G13)))^0.5</f>
        <v>8761.9165554844021</v>
      </c>
      <c r="H41" s="36"/>
      <c r="I41" s="19" t="s">
        <v>22</v>
      </c>
      <c r="J41" s="1"/>
      <c r="K41" s="1"/>
      <c r="L41" s="1"/>
      <c r="M41" s="1"/>
      <c r="N41" s="1"/>
      <c r="O41" s="1"/>
      <c r="Y41">
        <f>(16.9-16.7)*0.052*10000</f>
        <v>103.99999999999963</v>
      </c>
    </row>
    <row r="42" spans="1:25">
      <c r="A42" s="1"/>
      <c r="B42" s="1"/>
      <c r="C42" s="1"/>
      <c r="D42" s="1"/>
      <c r="E42" s="1"/>
      <c r="F42" s="17"/>
      <c r="G42" s="36"/>
      <c r="H42" s="36"/>
      <c r="I42" s="19"/>
      <c r="J42" s="1"/>
      <c r="K42" s="1"/>
      <c r="L42" s="1"/>
      <c r="M42" s="1"/>
      <c r="N42" s="1"/>
      <c r="O42" s="1"/>
    </row>
    <row r="43" spans="1:25">
      <c r="A43" s="1"/>
      <c r="B43" s="1" t="s">
        <v>70</v>
      </c>
      <c r="C43" s="1"/>
      <c r="D43" s="1"/>
      <c r="E43" s="1"/>
      <c r="F43" s="17" t="s">
        <v>71</v>
      </c>
      <c r="G43" s="38">
        <f>1/G13*(IF((G26*G33+G15*(G12-G33))&lt;G14,G14,G26*G33+G15*(G12-G33))-IF(G33&gt;(G12-G13),G12-G13,G33)*G26-(G12-G13-IF(G33&gt;(G12-G13),G12-G13,G33))*G15)</f>
        <v>0.86840000000000006</v>
      </c>
      <c r="H43" s="38"/>
      <c r="I43" s="19" t="s">
        <v>19</v>
      </c>
      <c r="J43" s="54">
        <f>G43*19.25</f>
        <v>16.716699999999999</v>
      </c>
      <c r="K43" s="1"/>
      <c r="L43" s="19" t="s">
        <v>20</v>
      </c>
      <c r="M43" s="1"/>
      <c r="N43" s="1"/>
      <c r="O43" s="1"/>
    </row>
    <row r="44" spans="1:25">
      <c r="A44" s="1"/>
      <c r="B44" s="1" t="s">
        <v>72</v>
      </c>
      <c r="C44" s="1"/>
      <c r="D44" s="1"/>
      <c r="E44" s="1"/>
      <c r="F44" s="39" t="s">
        <v>73</v>
      </c>
      <c r="G44" s="40">
        <f>IF(G13=0,"XXXX",G41/G13)</f>
        <v>0.87619165554844025</v>
      </c>
      <c r="H44" s="40"/>
      <c r="I44" s="41" t="s">
        <v>19</v>
      </c>
      <c r="J44" s="55">
        <f>IF(G13=0,"XXXX",G44*19.25)</f>
        <v>16.866689369307476</v>
      </c>
      <c r="K44" s="41" t="s">
        <v>20</v>
      </c>
      <c r="L44" s="19" t="s">
        <v>20</v>
      </c>
      <c r="M44" s="19"/>
      <c r="N44" s="1"/>
      <c r="O44" s="1"/>
    </row>
    <row r="45" spans="1:25">
      <c r="A45" s="1"/>
      <c r="B45" s="1"/>
      <c r="C45" s="1"/>
      <c r="D45" s="1"/>
      <c r="E45" s="1"/>
      <c r="F45" s="42"/>
      <c r="G45" s="20" t="str">
        <f>IF(G15&gt;G44,"Warning! MW &gt; FSG","")</f>
        <v/>
      </c>
      <c r="H45" s="20"/>
      <c r="I45" s="1"/>
      <c r="J45" s="1"/>
      <c r="K45" s="1"/>
      <c r="L45" s="1"/>
      <c r="M45" s="1"/>
      <c r="N45" s="1"/>
      <c r="O45" s="1"/>
    </row>
    <row r="46" spans="1:25">
      <c r="A46" s="1"/>
      <c r="B46" s="1"/>
      <c r="C46" s="1"/>
      <c r="D46" s="1"/>
      <c r="E46" s="1"/>
      <c r="F46" s="1"/>
      <c r="G46" s="20" t="str">
        <f>IF(G43&gt;G44,"Warning! FSG si &gt; FSG exp","")</f>
        <v/>
      </c>
      <c r="H46" s="20"/>
      <c r="I46" s="19"/>
      <c r="J46" s="43"/>
      <c r="K46" s="19"/>
      <c r="L46" s="1"/>
      <c r="M46" s="1"/>
      <c r="N46" s="1"/>
      <c r="O46" s="1"/>
    </row>
    <row r="47" spans="1:25">
      <c r="A47" s="1"/>
      <c r="B47" s="1"/>
      <c r="C47" s="1"/>
      <c r="D47" s="1"/>
      <c r="E47" s="1"/>
      <c r="F47" s="2"/>
      <c r="G47" s="1"/>
      <c r="H47" s="1"/>
      <c r="I47" s="19"/>
      <c r="J47" s="43"/>
      <c r="K47" s="19"/>
      <c r="L47" s="1"/>
      <c r="M47" s="1"/>
      <c r="N47" s="1"/>
      <c r="O47" s="1"/>
    </row>
    <row r="48" spans="1:25">
      <c r="A48" s="1"/>
      <c r="B48" s="19" t="s">
        <v>74</v>
      </c>
      <c r="C48" s="1"/>
      <c r="D48" s="1"/>
      <c r="E48" s="1"/>
      <c r="F48" s="17"/>
      <c r="G48" s="44"/>
      <c r="H48" s="44"/>
      <c r="I48" s="19"/>
      <c r="J48" s="43"/>
      <c r="K48" s="19"/>
      <c r="L48" s="1"/>
      <c r="M48" s="1"/>
      <c r="N48" s="1"/>
      <c r="O48" s="1"/>
    </row>
    <row r="49" spans="1:15">
      <c r="A49" s="1"/>
      <c r="B49" s="19"/>
      <c r="C49" s="1"/>
      <c r="D49" s="1"/>
      <c r="E49" s="1"/>
      <c r="F49" s="17"/>
      <c r="G49" s="44"/>
      <c r="H49" s="44"/>
      <c r="I49" s="19"/>
      <c r="J49" s="43"/>
      <c r="K49" s="19"/>
      <c r="L49" s="1"/>
      <c r="M49" s="1"/>
      <c r="N49" s="1"/>
      <c r="O49" s="1"/>
    </row>
    <row r="50" spans="1:15">
      <c r="A50" s="1"/>
      <c r="B50" s="19" t="s">
        <v>75</v>
      </c>
      <c r="C50" s="1"/>
      <c r="D50" s="1"/>
      <c r="E50" s="1"/>
      <c r="F50" s="17"/>
      <c r="G50" s="44"/>
      <c r="H50" s="44"/>
      <c r="I50" s="19"/>
      <c r="J50" s="43"/>
      <c r="K50" s="19"/>
      <c r="L50" s="1"/>
      <c r="M50" s="1"/>
      <c r="N50" s="1"/>
      <c r="O50" s="1"/>
    </row>
    <row r="51" spans="1:15">
      <c r="A51" s="1"/>
      <c r="B51" s="19" t="s">
        <v>76</v>
      </c>
      <c r="C51" s="1"/>
      <c r="D51" s="1"/>
      <c r="E51" s="1"/>
      <c r="F51" s="17"/>
      <c r="G51" s="44"/>
      <c r="H51" s="44"/>
      <c r="I51" s="19"/>
      <c r="J51" s="43"/>
      <c r="K51" s="19"/>
      <c r="L51" s="1"/>
      <c r="M51" s="1"/>
      <c r="N51" s="1"/>
      <c r="O51" s="1"/>
    </row>
    <row r="52" spans="1:15">
      <c r="A52" s="1"/>
      <c r="B52" s="19" t="s">
        <v>77</v>
      </c>
      <c r="C52" s="1"/>
      <c r="D52" s="1"/>
      <c r="E52" s="1"/>
      <c r="F52" s="17"/>
      <c r="G52" s="44"/>
      <c r="H52" s="44"/>
      <c r="I52" s="19"/>
      <c r="J52" s="43"/>
      <c r="K52" s="19"/>
      <c r="L52" s="1"/>
      <c r="M52" s="1"/>
      <c r="N52" s="1"/>
      <c r="O52" s="1"/>
    </row>
    <row r="53" spans="1:15">
      <c r="A53" s="1"/>
      <c r="B53" s="19" t="s">
        <v>78</v>
      </c>
      <c r="C53" s="1"/>
      <c r="D53" s="1"/>
      <c r="E53" s="1"/>
      <c r="F53" s="17"/>
      <c r="G53" s="44"/>
      <c r="H53" s="44"/>
      <c r="I53" s="19"/>
      <c r="J53" s="43"/>
      <c r="K53" s="19"/>
      <c r="L53" s="1"/>
      <c r="M53" s="1"/>
      <c r="N53" s="1"/>
      <c r="O53" s="1"/>
    </row>
    <row r="54" spans="1:15">
      <c r="A54" s="1"/>
      <c r="B54" s="19" t="s">
        <v>79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9" t="s">
        <v>80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9" t="s">
        <v>81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9" t="s">
        <v>82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9" t="s">
        <v>83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9" t="s">
        <v>84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9" t="s">
        <v>85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9" t="s">
        <v>86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9" t="s">
        <v>87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9" t="s">
        <v>88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9" t="s">
        <v>89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 t="s">
        <v>91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 t="s">
        <v>92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 t="s">
        <v>93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 t="s">
        <v>94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 t="s">
        <v>95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 t="s">
        <v>96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9" t="s">
        <v>97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 t="s">
        <v>98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 t="s">
        <v>99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 t="s">
        <v>100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 t="s">
        <v>101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 t="s">
        <v>102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 t="s">
        <v>103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 t="s">
        <v>104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 t="s">
        <v>105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 t="s">
        <v>106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 t="s">
        <v>107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 t="s">
        <v>108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9" t="s">
        <v>109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 t="s">
        <v>110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 t="s">
        <v>111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9" t="s">
        <v>112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 t="s">
        <v>113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9" t="s">
        <v>114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 t="s">
        <v>115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9" t="s">
        <v>116</v>
      </c>
      <c r="D97" s="10"/>
      <c r="E97" s="10"/>
      <c r="F97" s="10"/>
      <c r="G97" s="10"/>
      <c r="H97" s="10"/>
      <c r="I97" s="11"/>
      <c r="J97" s="1"/>
      <c r="K97" s="1"/>
      <c r="L97" s="1"/>
      <c r="M97" s="1"/>
      <c r="N97" s="1"/>
      <c r="O97" s="1"/>
    </row>
    <row r="98" spans="1:15">
      <c r="A98" s="1"/>
      <c r="B98" s="1"/>
      <c r="C98" s="45" t="s">
        <v>117</v>
      </c>
      <c r="D98" s="1"/>
      <c r="E98" s="1"/>
      <c r="F98" s="1"/>
      <c r="G98" s="1"/>
      <c r="H98" s="1"/>
      <c r="I98" s="46"/>
      <c r="J98" s="1"/>
      <c r="K98" s="1"/>
      <c r="L98" s="1"/>
      <c r="M98" s="1"/>
      <c r="N98" s="1"/>
      <c r="O98" s="1"/>
    </row>
    <row r="99" spans="1:15">
      <c r="A99" s="1"/>
      <c r="B99" s="1"/>
      <c r="C99" s="12" t="s">
        <v>118</v>
      </c>
      <c r="D99" s="13"/>
      <c r="E99" s="13"/>
      <c r="F99" s="13"/>
      <c r="G99" s="13"/>
      <c r="H99" s="13"/>
      <c r="I99" s="14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2">
    <mergeCell ref="AF16:AH16"/>
    <mergeCell ref="AJ23:AL23"/>
  </mergeCell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"/>
  <sheetViews>
    <sheetView workbookViewId="0">
      <selection activeCell="I11" sqref="I11"/>
    </sheetView>
  </sheetViews>
  <sheetFormatPr defaultColWidth="2.765625" defaultRowHeight="15.5"/>
  <cols>
    <col min="1" max="1" width="1.765625" customWidth="1"/>
    <col min="2" max="2" width="6.765625" customWidth="1"/>
    <col min="3" max="4" width="8.765625" customWidth="1"/>
    <col min="5" max="5" width="12.765625" customWidth="1"/>
    <col min="6" max="6" width="10.23046875" customWidth="1"/>
    <col min="7" max="7" width="7.765625" customWidth="1"/>
    <col min="8" max="8" width="7.53515625" customWidth="1"/>
    <col min="9" max="9" width="8.07421875" customWidth="1"/>
    <col min="10" max="10" width="6.765625" customWidth="1"/>
    <col min="11" max="11" width="0" hidden="1" customWidth="1"/>
  </cols>
  <sheetData>
    <row r="1" spans="1:15" ht="12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" customHeight="1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1" customHeight="1" thickBot="1">
      <c r="A3" s="1"/>
      <c r="B3" s="3" t="s">
        <v>0</v>
      </c>
      <c r="C3" s="4"/>
      <c r="D3" s="1"/>
      <c r="E3" s="5" t="s">
        <v>1</v>
      </c>
      <c r="F3" s="6" t="str">
        <f>'20in Casing with 50 bbl'!F3</f>
        <v>JDS-21-01</v>
      </c>
      <c r="G3" s="6"/>
      <c r="H3" s="6"/>
      <c r="I3" s="1"/>
      <c r="J3" s="1"/>
      <c r="K3" s="1"/>
      <c r="L3" s="1"/>
      <c r="M3" s="1"/>
      <c r="N3" s="1"/>
      <c r="O3" s="1"/>
    </row>
    <row r="4" spans="1:15" ht="19" customHeight="1">
      <c r="A4" s="1"/>
      <c r="B4" s="1" t="s">
        <v>2</v>
      </c>
      <c r="C4" s="1"/>
      <c r="D4" s="1"/>
      <c r="E4" s="5" t="s">
        <v>3</v>
      </c>
      <c r="F4" s="6" t="str">
        <f>'20in Casing with 50 bbl'!F4</f>
        <v>TBA</v>
      </c>
      <c r="G4" s="6"/>
      <c r="H4" s="6"/>
      <c r="I4" s="1"/>
      <c r="J4" s="1"/>
      <c r="K4" s="1"/>
      <c r="L4" s="1"/>
      <c r="M4" s="1"/>
      <c r="N4" s="1"/>
      <c r="O4" s="1"/>
    </row>
    <row r="5" spans="1:15" ht="21" customHeight="1">
      <c r="A5" s="1"/>
      <c r="B5" s="1"/>
      <c r="C5" s="1"/>
      <c r="D5" s="1"/>
      <c r="E5" s="5" t="s">
        <v>4</v>
      </c>
      <c r="F5" s="57">
        <f>'20in Casing with 50 bbl'!F5</f>
        <v>44487</v>
      </c>
      <c r="G5" s="6"/>
      <c r="H5" s="6"/>
      <c r="I5" s="1"/>
      <c r="J5" s="1"/>
      <c r="K5" s="1"/>
      <c r="L5" s="1"/>
      <c r="M5" s="1"/>
      <c r="N5" s="1"/>
      <c r="O5" s="1"/>
    </row>
    <row r="6" spans="1:15" ht="21" customHeight="1">
      <c r="A6" s="1"/>
      <c r="B6" s="1"/>
      <c r="C6" s="1"/>
      <c r="D6" s="1"/>
      <c r="E6" s="5" t="s">
        <v>5</v>
      </c>
      <c r="F6" s="6" t="str">
        <f>'20in Casing with 50 bbl'!F6</f>
        <v>JDS-21</v>
      </c>
      <c r="G6" s="6"/>
      <c r="H6" s="6"/>
      <c r="I6" s="1"/>
      <c r="J6" s="1"/>
      <c r="K6" s="1"/>
      <c r="L6" s="1"/>
      <c r="M6" s="1"/>
      <c r="N6" s="1"/>
      <c r="O6" s="1"/>
    </row>
    <row r="7" spans="1:15" ht="16" customHeight="1">
      <c r="A7" s="1"/>
      <c r="B7" s="1"/>
      <c r="C7" s="1"/>
      <c r="D7" s="1"/>
      <c r="E7" s="5"/>
      <c r="F7" s="8"/>
      <c r="G7" s="6"/>
      <c r="H7" s="6"/>
      <c r="I7" s="1"/>
      <c r="J7" s="1"/>
      <c r="K7" s="1"/>
      <c r="L7" s="1"/>
      <c r="M7" s="1"/>
      <c r="N7" s="1"/>
      <c r="O7" s="1"/>
    </row>
    <row r="8" spans="1:15">
      <c r="A8" s="1"/>
      <c r="B8" s="9" t="s">
        <v>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"/>
    </row>
    <row r="9" spans="1:15">
      <c r="A9" s="1"/>
      <c r="B9" s="12" t="s">
        <v>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5" t="s">
        <v>8</v>
      </c>
      <c r="C11" s="1"/>
      <c r="D11" s="1"/>
      <c r="E11" s="1"/>
      <c r="F11" s="1"/>
      <c r="G11" s="16"/>
      <c r="H11" s="16"/>
      <c r="I11" s="1"/>
      <c r="J11" s="1"/>
      <c r="K11" s="1"/>
      <c r="L11" s="1"/>
      <c r="M11" s="1"/>
      <c r="N11" s="1"/>
      <c r="O11" s="1"/>
    </row>
    <row r="12" spans="1:15">
      <c r="A12" s="1"/>
      <c r="B12" s="1" t="s">
        <v>9</v>
      </c>
      <c r="C12" s="1"/>
      <c r="D12" s="1"/>
      <c r="E12" s="1"/>
      <c r="F12" s="17" t="s">
        <v>10</v>
      </c>
      <c r="G12" s="18">
        <f>I12*3.281</f>
        <v>4262.0190000000002</v>
      </c>
      <c r="H12" s="19" t="s">
        <v>11</v>
      </c>
      <c r="I12" s="47">
        <f>1299</f>
        <v>1299</v>
      </c>
      <c r="K12" s="1"/>
      <c r="L12" s="1"/>
      <c r="M12" s="1"/>
      <c r="N12" s="1"/>
      <c r="O12" s="1"/>
    </row>
    <row r="13" spans="1:15">
      <c r="A13" s="1"/>
      <c r="B13" s="1" t="s">
        <v>12</v>
      </c>
      <c r="C13" s="1"/>
      <c r="D13" s="1"/>
      <c r="E13" s="1"/>
      <c r="F13" s="17" t="s">
        <v>13</v>
      </c>
      <c r="G13" s="18">
        <f>I13*3.281</f>
        <v>1906.261</v>
      </c>
      <c r="H13" s="19" t="s">
        <v>11</v>
      </c>
      <c r="I13" s="47">
        <f>581</f>
        <v>581</v>
      </c>
      <c r="K13" s="1"/>
      <c r="L13" s="1"/>
      <c r="M13" s="1"/>
      <c r="N13" s="1"/>
      <c r="O13" s="1"/>
    </row>
    <row r="14" spans="1:15">
      <c r="A14" s="1"/>
      <c r="B14" s="1" t="s">
        <v>14</v>
      </c>
      <c r="C14" s="1"/>
      <c r="D14" s="1"/>
      <c r="E14" s="1"/>
      <c r="F14" s="17" t="s">
        <v>15</v>
      </c>
      <c r="G14" s="18">
        <f>8.5*0.052*G12</f>
        <v>1883.812398</v>
      </c>
      <c r="H14" s="18"/>
      <c r="I14" s="19" t="s">
        <v>16</v>
      </c>
      <c r="J14" s="20"/>
      <c r="K14" s="19"/>
      <c r="L14" s="1"/>
      <c r="M14" s="1"/>
      <c r="N14" s="1"/>
      <c r="O14" s="1"/>
    </row>
    <row r="15" spans="1:15">
      <c r="A15" s="1"/>
      <c r="B15" s="1" t="s">
        <v>17</v>
      </c>
      <c r="C15" s="1"/>
      <c r="D15" s="1"/>
      <c r="E15" s="1"/>
      <c r="F15" s="17" t="s">
        <v>18</v>
      </c>
      <c r="G15" s="21">
        <f>10.5*0.052</f>
        <v>0.54599999999999993</v>
      </c>
      <c r="H15" s="21"/>
      <c r="I15" s="19" t="s">
        <v>19</v>
      </c>
      <c r="J15" s="53">
        <f>G15*19.25</f>
        <v>10.510499999999999</v>
      </c>
      <c r="K15" s="19" t="s">
        <v>20</v>
      </c>
      <c r="L15" s="19" t="s">
        <v>20</v>
      </c>
      <c r="M15" s="1"/>
      <c r="N15" s="1"/>
      <c r="O15" s="1"/>
    </row>
    <row r="16" spans="1:15">
      <c r="A16" s="1"/>
      <c r="B16" s="1"/>
      <c r="C16" s="1"/>
      <c r="D16" s="1"/>
      <c r="E16" s="1"/>
      <c r="F16" s="17"/>
      <c r="G16" s="1"/>
      <c r="H16" s="1"/>
      <c r="I16" s="17" t="s">
        <v>21</v>
      </c>
      <c r="J16" s="22">
        <f>G15*G12-G14</f>
        <v>443.24997599999961</v>
      </c>
      <c r="K16" s="1"/>
      <c r="L16" s="19" t="s">
        <v>22</v>
      </c>
      <c r="M16" s="1"/>
      <c r="N16" s="1"/>
      <c r="O16" s="1"/>
    </row>
    <row r="17" spans="1:15">
      <c r="A17" s="1"/>
      <c r="B17" s="1" t="s">
        <v>23</v>
      </c>
      <c r="C17" s="1"/>
      <c r="D17" s="1"/>
      <c r="E17" s="1"/>
      <c r="F17" s="17" t="s">
        <v>24</v>
      </c>
      <c r="G17" s="18">
        <v>0</v>
      </c>
      <c r="H17" s="18"/>
      <c r="I17" s="19" t="s">
        <v>25</v>
      </c>
      <c r="J17" s="1"/>
      <c r="K17" s="1"/>
      <c r="L17" s="1"/>
      <c r="M17" s="1"/>
      <c r="N17" s="1"/>
      <c r="O17" s="1"/>
    </row>
    <row r="18" spans="1:15">
      <c r="A18" s="1"/>
      <c r="B18" s="1" t="s">
        <v>26</v>
      </c>
      <c r="C18" s="1"/>
      <c r="D18" s="1"/>
      <c r="E18" s="1"/>
      <c r="F18" s="17" t="s">
        <v>27</v>
      </c>
      <c r="G18" s="18">
        <v>0</v>
      </c>
      <c r="H18" s="18"/>
      <c r="I18" s="19" t="s">
        <v>25</v>
      </c>
      <c r="J18" s="1"/>
      <c r="K18" s="23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 t="s">
        <v>28</v>
      </c>
      <c r="C20" s="1"/>
      <c r="D20" s="1"/>
      <c r="E20" s="1"/>
      <c r="F20" s="17" t="s">
        <v>29</v>
      </c>
      <c r="G20" s="49">
        <v>8.5</v>
      </c>
      <c r="H20" s="24"/>
      <c r="I20" s="19" t="s">
        <v>30</v>
      </c>
      <c r="J20" s="1"/>
      <c r="K20" s="1"/>
      <c r="L20" s="1"/>
      <c r="M20" s="1"/>
      <c r="N20" s="1"/>
      <c r="O20" s="1"/>
    </row>
    <row r="21" spans="1:15">
      <c r="A21" s="1"/>
      <c r="B21" s="1" t="s">
        <v>31</v>
      </c>
      <c r="C21" s="1"/>
      <c r="D21" s="1"/>
      <c r="E21" s="1"/>
      <c r="F21" s="17" t="s">
        <v>32</v>
      </c>
      <c r="G21" s="50">
        <v>5</v>
      </c>
      <c r="H21" s="25"/>
      <c r="I21" s="19" t="s">
        <v>30</v>
      </c>
      <c r="J21" s="1"/>
      <c r="K21" s="1"/>
      <c r="L21" s="1"/>
      <c r="M21" s="1"/>
      <c r="N21" s="1"/>
      <c r="O21" s="1"/>
    </row>
    <row r="22" spans="1:15">
      <c r="A22" s="1"/>
      <c r="B22" s="1" t="s">
        <v>33</v>
      </c>
      <c r="C22" s="1"/>
      <c r="D22" s="1"/>
      <c r="E22" s="1"/>
      <c r="F22" s="17" t="s">
        <v>34</v>
      </c>
      <c r="G22" s="51">
        <v>120</v>
      </c>
      <c r="H22" s="26"/>
      <c r="I22" s="19" t="s">
        <v>11</v>
      </c>
      <c r="J22" s="1"/>
      <c r="K22" s="1"/>
      <c r="L22" s="1"/>
      <c r="M22" s="1"/>
      <c r="N22" s="1"/>
      <c r="O22" s="1"/>
    </row>
    <row r="23" spans="1:15">
      <c r="A23" s="1"/>
      <c r="B23" s="1" t="s">
        <v>35</v>
      </c>
      <c r="C23" s="1"/>
      <c r="D23" s="1"/>
      <c r="E23" s="1"/>
      <c r="F23" s="17" t="s">
        <v>36</v>
      </c>
      <c r="G23" s="52">
        <v>6.5</v>
      </c>
      <c r="H23" s="27"/>
      <c r="I23" s="19" t="s">
        <v>30</v>
      </c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7"/>
      <c r="G24" s="27"/>
      <c r="H24" s="27"/>
      <c r="I24" s="19"/>
      <c r="J24" s="1"/>
      <c r="K24" s="1"/>
      <c r="L24" s="1"/>
      <c r="M24" s="1"/>
      <c r="N24" s="1"/>
      <c r="O24" s="1"/>
    </row>
    <row r="25" spans="1:15">
      <c r="A25" s="1"/>
      <c r="B25" s="1" t="s">
        <v>37</v>
      </c>
      <c r="C25" s="1"/>
      <c r="D25" s="28"/>
      <c r="E25" s="1"/>
      <c r="F25" s="17" t="s">
        <v>38</v>
      </c>
      <c r="G25" s="48">
        <v>40</v>
      </c>
      <c r="H25" s="18"/>
      <c r="I25" s="19" t="s">
        <v>39</v>
      </c>
      <c r="J25" s="29" t="str">
        <f>IF(G34&lt;=G14,"Well flowing","")</f>
        <v/>
      </c>
      <c r="K25" s="30"/>
      <c r="L25" s="1"/>
      <c r="M25" s="1"/>
      <c r="N25" s="1"/>
      <c r="O25" s="1"/>
    </row>
    <row r="26" spans="1:15">
      <c r="A26" s="1"/>
      <c r="B26" s="1" t="s">
        <v>40</v>
      </c>
      <c r="C26" s="1"/>
      <c r="D26" s="1"/>
      <c r="E26" s="1"/>
      <c r="F26" s="17" t="s">
        <v>41</v>
      </c>
      <c r="G26" s="27">
        <v>0.1</v>
      </c>
      <c r="H26" s="27"/>
      <c r="I26" s="19" t="s">
        <v>42</v>
      </c>
      <c r="J26" s="29" t="str">
        <f>IF(G34&lt;=G14,"@ shut-in!","")</f>
        <v/>
      </c>
      <c r="K26" s="1"/>
      <c r="L26" s="1"/>
      <c r="M26" s="1"/>
      <c r="N26" s="1"/>
      <c r="O26" s="1"/>
    </row>
    <row r="27" spans="1:15" ht="13.9" customHeight="1">
      <c r="A27" s="1"/>
      <c r="B27" s="1"/>
      <c r="C27" s="1"/>
      <c r="D27" s="1"/>
      <c r="E27" s="1"/>
      <c r="F27" s="20" t="str">
        <f>IF(G33&gt;G12-G13,"         VKH si &gt;TVD-TVC","")</f>
        <v/>
      </c>
      <c r="G27" s="6"/>
      <c r="H27" s="6"/>
      <c r="I27" s="1"/>
      <c r="J27" s="20" t="str">
        <f>IF(G34&lt;=G14,"BHP&lt;PP","")</f>
        <v/>
      </c>
      <c r="K27" s="1"/>
      <c r="L27" s="1"/>
      <c r="M27" s="1"/>
      <c r="N27" s="1"/>
      <c r="O27" s="1"/>
    </row>
    <row r="28" spans="1:15">
      <c r="A28" s="1"/>
      <c r="B28" s="31" t="s">
        <v>43</v>
      </c>
      <c r="C28" s="1"/>
      <c r="D28" s="1"/>
      <c r="E28" s="1"/>
      <c r="F28" s="19"/>
      <c r="G28" s="32"/>
      <c r="H28" s="32"/>
      <c r="I28" s="19"/>
      <c r="J28" s="1"/>
      <c r="K28" s="1"/>
      <c r="L28" s="1"/>
      <c r="M28" s="1"/>
      <c r="N28" s="1"/>
      <c r="O28" s="1"/>
    </row>
    <row r="29" spans="1:15">
      <c r="A29" s="1"/>
      <c r="B29" s="19" t="s">
        <v>44</v>
      </c>
      <c r="C29" s="19"/>
      <c r="D29" s="1" t="s">
        <v>45</v>
      </c>
      <c r="E29" s="1"/>
      <c r="F29" s="17" t="s">
        <v>46</v>
      </c>
      <c r="G29" s="33">
        <f>(G20^2-G21^2)/1029.46</f>
        <v>4.5897849357915799E-2</v>
      </c>
      <c r="H29" s="33"/>
      <c r="I29" s="19" t="s">
        <v>47</v>
      </c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 t="s">
        <v>48</v>
      </c>
      <c r="E30" s="1"/>
      <c r="F30" s="17" t="s">
        <v>49</v>
      </c>
      <c r="G30" s="33">
        <f>(G20^2-G23^2)/1029.46</f>
        <v>2.9141491655819553E-2</v>
      </c>
      <c r="H30" s="33"/>
      <c r="I30" s="19" t="s">
        <v>47</v>
      </c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34" t="s">
        <v>50</v>
      </c>
      <c r="E31" s="1"/>
      <c r="F31" s="17" t="s">
        <v>51</v>
      </c>
      <c r="G31" s="35">
        <f>(G12-G13)/COS((G18+G17)/2*3.14159/180)</f>
        <v>2355.7580000000003</v>
      </c>
      <c r="H31" s="35"/>
      <c r="I31" s="19" t="s">
        <v>52</v>
      </c>
      <c r="J31" s="1"/>
      <c r="K31" s="1"/>
      <c r="L31" s="1"/>
      <c r="M31" s="1"/>
      <c r="N31" s="1"/>
      <c r="O31" s="1"/>
    </row>
    <row r="32" spans="1:15">
      <c r="A32" s="1"/>
      <c r="B32" s="19" t="s">
        <v>53</v>
      </c>
      <c r="C32" s="1"/>
      <c r="D32" s="1"/>
      <c r="E32" s="1"/>
      <c r="F32" s="1"/>
      <c r="G32" s="1"/>
      <c r="H32" s="1"/>
      <c r="I32" s="1"/>
      <c r="J32" s="34"/>
      <c r="K32" s="1"/>
      <c r="L32" s="1"/>
      <c r="M32" s="1"/>
      <c r="N32" s="1"/>
      <c r="O32" s="1"/>
    </row>
    <row r="33" spans="1:15">
      <c r="A33" s="1"/>
      <c r="B33" s="1"/>
      <c r="C33" s="34" t="s">
        <v>54</v>
      </c>
      <c r="D33" s="1"/>
      <c r="E33" s="1"/>
      <c r="F33" s="17" t="s">
        <v>55</v>
      </c>
      <c r="G33" s="36">
        <f>COS(G18*3.14159/180)*IF((G25/G30)&lt;G22,G25/G30,G22+(G25-G30*G22)/G29)</f>
        <v>915.31005291005295</v>
      </c>
      <c r="H33" s="36"/>
      <c r="I33" s="19" t="s">
        <v>11</v>
      </c>
      <c r="J33" s="1"/>
      <c r="K33" s="19" t="s">
        <v>20</v>
      </c>
      <c r="L33" s="1"/>
      <c r="M33" s="1"/>
      <c r="N33" s="1"/>
      <c r="O33" s="1"/>
    </row>
    <row r="34" spans="1:15">
      <c r="A34" s="1"/>
      <c r="B34" s="1"/>
      <c r="C34" s="1" t="s">
        <v>56</v>
      </c>
      <c r="D34" s="1"/>
      <c r="E34" s="1"/>
      <c r="F34" s="17" t="s">
        <v>57</v>
      </c>
      <c r="G34" s="36">
        <f>IF(G14&lt;G33*G26+(G12-G33)*G15,G33*G26+(G12-G33)*G15,G14)</f>
        <v>1918.8340904021163</v>
      </c>
      <c r="H34" s="36"/>
      <c r="I34" s="19" t="s">
        <v>22</v>
      </c>
      <c r="J34" s="1"/>
      <c r="K34" s="19"/>
      <c r="L34" s="1"/>
      <c r="M34" s="1"/>
      <c r="N34" s="1"/>
      <c r="O34" s="1"/>
    </row>
    <row r="35" spans="1:15">
      <c r="A35" s="1"/>
      <c r="B35" s="5" t="s">
        <v>58</v>
      </c>
      <c r="C35" s="1" t="s">
        <v>59</v>
      </c>
      <c r="D35" s="1"/>
      <c r="E35" s="1"/>
      <c r="F35" s="17" t="s">
        <v>60</v>
      </c>
      <c r="G35" s="36">
        <f>COS(G17*3.14159/180)*IF(G22&gt;G31,IF(G25/G30&lt;G22,G25/G30,G22+(G25-G30*G22)/G29),IF(G25/G29&lt;G31-G22,G25/G29,IF(G25&lt;(G31-G22)*G29+G22*G30,G31-G22+(G25-(G31-G22)*G29)/G30,G22+(G25-G22*G30)/G29)))</f>
        <v>871.50052910052909</v>
      </c>
      <c r="H35" s="36"/>
      <c r="I35" s="19" t="s">
        <v>11</v>
      </c>
      <c r="J35" s="1"/>
      <c r="K35" s="1"/>
      <c r="L35" s="1"/>
      <c r="M35" s="1"/>
      <c r="N35" s="1"/>
      <c r="O35" s="1"/>
    </row>
    <row r="36" spans="1:15">
      <c r="A36" s="1"/>
      <c r="B36" s="5"/>
      <c r="C36" s="1" t="s">
        <v>61</v>
      </c>
      <c r="D36" s="1"/>
      <c r="E36" s="1"/>
      <c r="F36" s="17" t="s">
        <v>62</v>
      </c>
      <c r="G36" s="36">
        <f>G25*(G34-G26*G33)/G41</f>
        <v>57.888559581270002</v>
      </c>
      <c r="H36" s="36"/>
      <c r="I36" s="19" t="s">
        <v>39</v>
      </c>
      <c r="J36" s="1"/>
      <c r="K36" s="1"/>
      <c r="L36" s="1"/>
      <c r="M36" s="1"/>
      <c r="N36" s="1"/>
      <c r="O36" s="1"/>
    </row>
    <row r="37" spans="1:15">
      <c r="A37" s="1"/>
      <c r="B37" s="5" t="s">
        <v>58</v>
      </c>
      <c r="C37" s="1" t="s">
        <v>63</v>
      </c>
      <c r="D37" s="1"/>
      <c r="E37" s="1"/>
      <c r="F37" s="17" t="s">
        <v>64</v>
      </c>
      <c r="G37" s="36">
        <f>COS(G17*3.14159/180)*IF(G22&gt;G31,IF(G36/G30&lt;G22,G36/G30,G22+(G36-G30*G22)/G29),IF(G36/G29&lt;G31-G22,G36/G29,IF(G36&lt;(G31-G22)*G29+G22*G30,G31-G22+(G36-(G31-G22)*G29)/G30,G22+(G36-G22*G30)/G29)))</f>
        <v>1261.2477575986079</v>
      </c>
      <c r="H37" s="36"/>
      <c r="I37" s="19" t="s">
        <v>11</v>
      </c>
      <c r="J37" s="1"/>
      <c r="K37" s="1"/>
      <c r="L37" s="1"/>
      <c r="M37" s="1"/>
      <c r="N37" s="1"/>
      <c r="O37" s="1"/>
    </row>
    <row r="38" spans="1:15">
      <c r="A38" s="1"/>
      <c r="B38" s="5"/>
      <c r="C38" s="1"/>
      <c r="D38" s="1"/>
      <c r="E38" s="1"/>
      <c r="F38" s="17"/>
      <c r="G38" s="36"/>
      <c r="H38" s="36"/>
      <c r="I38" s="19"/>
      <c r="J38" s="1"/>
      <c r="K38" s="1"/>
      <c r="L38" s="1"/>
      <c r="M38" s="1"/>
      <c r="N38" s="1"/>
      <c r="O38" s="1"/>
    </row>
    <row r="39" spans="1:15">
      <c r="A39" s="1"/>
      <c r="B39" s="19" t="s">
        <v>65</v>
      </c>
      <c r="C39" s="1"/>
      <c r="D39" s="1"/>
      <c r="E39" s="1"/>
      <c r="F39" s="17"/>
      <c r="G39" s="37"/>
      <c r="H39" s="37"/>
      <c r="I39" s="19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 t="s">
        <v>66</v>
      </c>
      <c r="E40" s="1"/>
      <c r="F40" s="17" t="s">
        <v>67</v>
      </c>
      <c r="G40" s="36">
        <f>IF(G33&lt;G12-G13,G34-G33*G26-(G12-G13-G33)*G15,G34-(G12-G13)*G26)</f>
        <v>1040.8185059999998</v>
      </c>
      <c r="H40" s="36"/>
      <c r="I40" s="19" t="s">
        <v>22</v>
      </c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 t="s">
        <v>68</v>
      </c>
      <c r="E41" s="1"/>
      <c r="F41" s="17" t="s">
        <v>69</v>
      </c>
      <c r="G41" s="36">
        <f>0.5*(IF((G26*G35+G15*(G12-G35))&lt;G14,G14,G26*G35+G15*(G12-G35))-(G12-G13)*G15-G26*IF(+(G12-G13)&gt;G35,G35,G12-G13))+((0.5*(IF((G26*G35+G15*(G12-G35))&lt;G14,G14,G26*G35+G15*(G12-G35))-(G12-G13)*G15-G26*IF(+(G12-G13)&gt;G35,G35,G12-G13)))^2+((IF((G26*G35+G15*(G12-G35))&lt;G14,G14,G26*G35+G15*(G12-G35))-G26*IF(+(G12-G13)&gt;G35,G35,G12-G13))*G15*IF(+(G12-G13)&gt;G35,G35,G12-G13)))^0.5</f>
        <v>1262.6350341612851</v>
      </c>
      <c r="H41" s="36"/>
      <c r="I41" s="19" t="s">
        <v>22</v>
      </c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7"/>
      <c r="G42" s="36"/>
      <c r="H42" s="36"/>
      <c r="I42" s="19"/>
      <c r="J42" s="1"/>
      <c r="K42" s="1"/>
      <c r="L42" s="1"/>
      <c r="M42" s="1"/>
      <c r="N42" s="1"/>
      <c r="O42" s="1"/>
    </row>
    <row r="43" spans="1:15">
      <c r="A43" s="1"/>
      <c r="B43" s="1" t="s">
        <v>70</v>
      </c>
      <c r="C43" s="1"/>
      <c r="D43" s="1"/>
      <c r="E43" s="1"/>
      <c r="F43" s="17" t="s">
        <v>71</v>
      </c>
      <c r="G43" s="38">
        <f>1/G13*(IF((G26*G33+G15*(G12-G33))&lt;G14,G14,G26*G33+G15*(G12-G33))-IF(G33&gt;(G12-G13),G12-G13,G33)*G26-(G12-G13-IF(G33&gt;(G12-G13),G12-G13,G33))*G15)</f>
        <v>0.54599999999999993</v>
      </c>
      <c r="H43" s="38"/>
      <c r="I43" s="19" t="s">
        <v>19</v>
      </c>
      <c r="J43" s="54">
        <f>G43*19.25</f>
        <v>10.510499999999999</v>
      </c>
      <c r="K43" s="1"/>
      <c r="L43" s="19" t="s">
        <v>20</v>
      </c>
      <c r="M43" s="1"/>
      <c r="N43" s="1"/>
      <c r="O43" s="1"/>
    </row>
    <row r="44" spans="1:15">
      <c r="A44" s="1"/>
      <c r="B44" s="1" t="s">
        <v>72</v>
      </c>
      <c r="C44" s="1"/>
      <c r="D44" s="1"/>
      <c r="E44" s="1"/>
      <c r="F44" s="39" t="s">
        <v>73</v>
      </c>
      <c r="G44" s="40">
        <f>IF(G13=0,"XXXX",G41/G13)</f>
        <v>0.66236209740496454</v>
      </c>
      <c r="H44" s="40"/>
      <c r="I44" s="41" t="s">
        <v>19</v>
      </c>
      <c r="J44" s="55">
        <f>IF(G13=0,"XXXX",G44*19.25)</f>
        <v>12.750470375045568</v>
      </c>
      <c r="K44" s="41" t="s">
        <v>20</v>
      </c>
      <c r="L44" s="19" t="s">
        <v>20</v>
      </c>
      <c r="M44" s="19"/>
      <c r="N44" s="1"/>
      <c r="O44" s="1"/>
    </row>
    <row r="45" spans="1:15">
      <c r="A45" s="1"/>
      <c r="B45" s="1"/>
      <c r="C45" s="1"/>
      <c r="D45" s="1"/>
      <c r="E45" s="1"/>
      <c r="F45" s="42"/>
      <c r="G45" s="20" t="str">
        <f>IF(G15&gt;G44,"Warning! MW &gt; FSG","")</f>
        <v/>
      </c>
      <c r="H45" s="20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20" t="str">
        <f>IF(G43&gt;G44,"Warning! FSG si &gt; FSG exp","")</f>
        <v/>
      </c>
      <c r="H46" s="20"/>
      <c r="I46" s="19"/>
      <c r="J46" s="43"/>
      <c r="K46" s="19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2"/>
      <c r="G47" s="1"/>
      <c r="H47" s="1"/>
      <c r="I47" s="19"/>
      <c r="J47" s="43"/>
      <c r="K47" s="19"/>
      <c r="L47" s="1"/>
      <c r="M47" s="1"/>
      <c r="N47" s="1"/>
      <c r="O47" s="1"/>
    </row>
    <row r="48" spans="1:15">
      <c r="A48" s="1"/>
      <c r="B48" s="19" t="s">
        <v>74</v>
      </c>
      <c r="C48" s="1"/>
      <c r="D48" s="1"/>
      <c r="E48" s="1"/>
      <c r="F48" s="17"/>
      <c r="G48" s="44"/>
      <c r="H48" s="44"/>
      <c r="I48" s="19"/>
      <c r="J48" s="43"/>
      <c r="K48" s="19"/>
      <c r="L48" s="1"/>
      <c r="M48" s="1"/>
      <c r="N48" s="1"/>
      <c r="O48" s="1"/>
    </row>
    <row r="49" spans="1:15">
      <c r="A49" s="1"/>
      <c r="B49" s="19"/>
      <c r="C49" s="1"/>
      <c r="D49" s="1"/>
      <c r="E49" s="1"/>
      <c r="F49" s="17"/>
      <c r="G49" s="44"/>
      <c r="H49" s="44"/>
      <c r="I49" s="19"/>
      <c r="J49" s="43"/>
      <c r="K49" s="19"/>
      <c r="L49" s="1"/>
      <c r="M49" s="1"/>
      <c r="N49" s="1"/>
      <c r="O49" s="1"/>
    </row>
    <row r="50" spans="1:15">
      <c r="A50" s="1"/>
      <c r="B50" s="19" t="s">
        <v>75</v>
      </c>
      <c r="C50" s="1"/>
      <c r="D50" s="1"/>
      <c r="E50" s="1"/>
      <c r="F50" s="17"/>
      <c r="G50" s="44"/>
      <c r="H50" s="44"/>
      <c r="I50" s="19"/>
      <c r="J50" s="43"/>
      <c r="K50" s="19"/>
      <c r="L50" s="1"/>
      <c r="M50" s="1"/>
      <c r="N50" s="1"/>
      <c r="O50" s="1"/>
    </row>
    <row r="51" spans="1:15">
      <c r="A51" s="1"/>
      <c r="B51" s="19" t="s">
        <v>76</v>
      </c>
      <c r="C51" s="1"/>
      <c r="D51" s="1"/>
      <c r="E51" s="1"/>
      <c r="F51" s="17"/>
      <c r="G51" s="44"/>
      <c r="H51" s="44"/>
      <c r="I51" s="19"/>
      <c r="J51" s="43"/>
      <c r="K51" s="19"/>
      <c r="L51" s="1"/>
      <c r="M51" s="1"/>
      <c r="N51" s="1"/>
      <c r="O51" s="1"/>
    </row>
    <row r="52" spans="1:15">
      <c r="A52" s="1"/>
      <c r="B52" s="19" t="s">
        <v>77</v>
      </c>
      <c r="C52" s="1"/>
      <c r="D52" s="1"/>
      <c r="E52" s="1"/>
      <c r="F52" s="17"/>
      <c r="G52" s="44"/>
      <c r="H52" s="44"/>
      <c r="I52" s="19"/>
      <c r="J52" s="43"/>
      <c r="K52" s="19"/>
      <c r="L52" s="1"/>
      <c r="M52" s="1"/>
      <c r="N52" s="1"/>
      <c r="O52" s="1"/>
    </row>
    <row r="53" spans="1:15">
      <c r="A53" s="1"/>
      <c r="B53" s="19" t="s">
        <v>78</v>
      </c>
      <c r="C53" s="1"/>
      <c r="D53" s="1"/>
      <c r="E53" s="1"/>
      <c r="F53" s="17"/>
      <c r="G53" s="44"/>
      <c r="H53" s="44"/>
      <c r="I53" s="19"/>
      <c r="J53" s="43"/>
      <c r="K53" s="19"/>
      <c r="L53" s="1"/>
      <c r="M53" s="1"/>
      <c r="N53" s="1"/>
      <c r="O53" s="1"/>
    </row>
    <row r="54" spans="1:15">
      <c r="A54" s="1"/>
      <c r="B54" s="19" t="s">
        <v>79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9" t="s">
        <v>80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9" t="s">
        <v>81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9" t="s">
        <v>82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9" t="s">
        <v>83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9" t="s">
        <v>84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9" t="s">
        <v>85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9" t="s">
        <v>86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9" t="s">
        <v>87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9" t="s">
        <v>88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9" t="s">
        <v>89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 t="s">
        <v>91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 t="s">
        <v>92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 t="s">
        <v>93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 t="s">
        <v>94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 t="s">
        <v>95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 t="s">
        <v>96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9" t="s">
        <v>97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 t="s">
        <v>98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 t="s">
        <v>99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 t="s">
        <v>100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 t="s">
        <v>101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 t="s">
        <v>102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 t="s">
        <v>103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 t="s">
        <v>104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 t="s">
        <v>105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 t="s">
        <v>106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 t="s">
        <v>107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 t="s">
        <v>108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9" t="s">
        <v>109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 t="s">
        <v>110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 t="s">
        <v>111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9" t="s">
        <v>112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 t="s">
        <v>113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9" t="s">
        <v>114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 t="s">
        <v>115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9" t="s">
        <v>116</v>
      </c>
      <c r="D97" s="10"/>
      <c r="E97" s="10"/>
      <c r="F97" s="10"/>
      <c r="G97" s="10"/>
      <c r="H97" s="10"/>
      <c r="I97" s="11"/>
      <c r="J97" s="1"/>
      <c r="K97" s="1"/>
      <c r="L97" s="1"/>
      <c r="M97" s="1"/>
      <c r="N97" s="1"/>
      <c r="O97" s="1"/>
    </row>
    <row r="98" spans="1:15">
      <c r="A98" s="1"/>
      <c r="B98" s="1"/>
      <c r="C98" s="45" t="s">
        <v>117</v>
      </c>
      <c r="D98" s="1"/>
      <c r="E98" s="1"/>
      <c r="F98" s="1"/>
      <c r="G98" s="1"/>
      <c r="H98" s="1"/>
      <c r="I98" s="46"/>
      <c r="J98" s="1"/>
      <c r="K98" s="1"/>
      <c r="L98" s="1"/>
      <c r="M98" s="1"/>
      <c r="N98" s="1"/>
      <c r="O98" s="1"/>
    </row>
    <row r="99" spans="1:15">
      <c r="A99" s="1"/>
      <c r="B99" s="1"/>
      <c r="C99" s="12" t="s">
        <v>118</v>
      </c>
      <c r="D99" s="13"/>
      <c r="E99" s="13"/>
      <c r="F99" s="13"/>
      <c r="G99" s="13"/>
      <c r="H99" s="13"/>
      <c r="I99" s="14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A2CB-E349-4F77-BD85-D60A01AB700D}">
  <dimension ref="A1:AV100"/>
  <sheetViews>
    <sheetView topLeftCell="A7" zoomScale="62" zoomScaleNormal="62" workbookViewId="0">
      <selection activeCell="AT16" sqref="AT16"/>
    </sheetView>
  </sheetViews>
  <sheetFormatPr defaultColWidth="2.765625" defaultRowHeight="15.5"/>
  <cols>
    <col min="1" max="1" width="1.765625" customWidth="1"/>
    <col min="2" max="2" width="6.765625" customWidth="1"/>
    <col min="3" max="4" width="8.765625" customWidth="1"/>
    <col min="5" max="5" width="12.765625" customWidth="1"/>
    <col min="6" max="6" width="10.23046875" customWidth="1"/>
    <col min="7" max="7" width="7.765625" customWidth="1"/>
    <col min="8" max="8" width="7.53515625" customWidth="1"/>
    <col min="9" max="9" width="8.07421875" customWidth="1"/>
    <col min="10" max="10" width="6.765625" customWidth="1"/>
    <col min="11" max="11" width="0" hidden="1" customWidth="1"/>
    <col min="16" max="16" width="2.69140625" customWidth="1"/>
  </cols>
  <sheetData>
    <row r="1" spans="1:48" ht="12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8" ht="12" customHeight="1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48" ht="21" customHeight="1" thickBot="1">
      <c r="A3" s="1"/>
      <c r="B3" s="3" t="s">
        <v>0</v>
      </c>
      <c r="C3" s="4"/>
      <c r="D3" s="1"/>
      <c r="E3" s="5" t="s">
        <v>1</v>
      </c>
      <c r="F3" s="6" t="str">
        <f>'20in Casing with 50 bbl'!F3</f>
        <v>JDS-21-01</v>
      </c>
      <c r="G3" s="6"/>
      <c r="H3" s="6"/>
      <c r="I3" s="1"/>
      <c r="J3" s="1"/>
      <c r="K3" s="1"/>
      <c r="L3" s="1"/>
      <c r="M3" s="1"/>
      <c r="N3" s="1"/>
      <c r="O3" s="1"/>
    </row>
    <row r="4" spans="1:48" ht="19" customHeight="1">
      <c r="A4" s="1"/>
      <c r="B4" s="1" t="s">
        <v>2</v>
      </c>
      <c r="C4" s="1"/>
      <c r="D4" s="1"/>
      <c r="E4" s="5" t="s">
        <v>3</v>
      </c>
      <c r="F4" s="6" t="str">
        <f>'20in Casing with 50 bbl'!F4</f>
        <v>TBA</v>
      </c>
      <c r="G4" s="6"/>
      <c r="H4" s="6"/>
      <c r="I4" s="1"/>
      <c r="J4" s="1"/>
      <c r="K4" s="1"/>
      <c r="L4" s="1"/>
      <c r="M4" s="1"/>
      <c r="N4" s="1"/>
      <c r="O4" s="1"/>
    </row>
    <row r="5" spans="1:48" ht="21" customHeight="1">
      <c r="A5" s="1"/>
      <c r="B5" s="1"/>
      <c r="C5" s="1"/>
      <c r="D5" s="1"/>
      <c r="E5" s="5" t="s">
        <v>4</v>
      </c>
      <c r="F5" s="56">
        <f>'20in Casing with 50 bbl'!F5</f>
        <v>44487</v>
      </c>
      <c r="G5" s="6"/>
      <c r="H5" s="6"/>
      <c r="I5" s="1"/>
      <c r="J5" s="1"/>
      <c r="K5" s="1"/>
      <c r="L5" s="1"/>
      <c r="M5" s="1"/>
      <c r="N5" s="1"/>
      <c r="O5" s="1"/>
    </row>
    <row r="6" spans="1:48" ht="21" customHeight="1">
      <c r="A6" s="1"/>
      <c r="B6" s="1"/>
      <c r="C6" s="1"/>
      <c r="D6" s="1"/>
      <c r="E6" s="5" t="s">
        <v>5</v>
      </c>
      <c r="F6" s="6" t="str">
        <f>'20in Casing with 50 bbl'!F6</f>
        <v>JDS-21</v>
      </c>
      <c r="G6" s="6"/>
      <c r="H6" s="6"/>
      <c r="I6" s="1"/>
      <c r="J6" s="1"/>
      <c r="K6" s="1"/>
      <c r="L6" s="1"/>
      <c r="M6" s="1"/>
      <c r="N6" s="1"/>
      <c r="O6" s="1"/>
    </row>
    <row r="7" spans="1:48" ht="16" customHeight="1">
      <c r="A7" s="1"/>
      <c r="B7" s="1"/>
      <c r="C7" s="1"/>
      <c r="D7" s="1"/>
      <c r="E7" s="5"/>
      <c r="F7" s="8"/>
      <c r="G7" s="6"/>
      <c r="H7" s="6"/>
      <c r="I7" s="1"/>
      <c r="J7" s="1"/>
      <c r="K7" s="1"/>
      <c r="L7" s="1"/>
      <c r="M7" s="1"/>
      <c r="N7" s="1"/>
      <c r="O7" s="1"/>
    </row>
    <row r="8" spans="1:48">
      <c r="A8" s="1"/>
      <c r="B8" s="9" t="s">
        <v>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"/>
    </row>
    <row r="9" spans="1:48">
      <c r="A9" s="1"/>
      <c r="B9" s="12" t="s">
        <v>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"/>
    </row>
    <row r="10" spans="1:4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48">
      <c r="A11" s="1"/>
      <c r="B11" s="15" t="s">
        <v>8</v>
      </c>
      <c r="C11" s="1"/>
      <c r="D11" s="1"/>
      <c r="E11" s="1"/>
      <c r="F11" s="1"/>
      <c r="G11" s="16"/>
      <c r="H11" s="16"/>
      <c r="I11" s="1"/>
      <c r="J11" s="1"/>
      <c r="K11" s="1"/>
      <c r="L11" s="1"/>
      <c r="M11" s="1"/>
      <c r="N11" s="1"/>
      <c r="O11" s="1"/>
    </row>
    <row r="12" spans="1:48">
      <c r="A12" s="1"/>
      <c r="B12" s="1" t="s">
        <v>9</v>
      </c>
      <c r="C12" s="1"/>
      <c r="D12" s="1"/>
      <c r="E12" s="1"/>
      <c r="F12" s="17" t="s">
        <v>10</v>
      </c>
      <c r="G12" s="18">
        <v>12000</v>
      </c>
      <c r="H12" s="19" t="s">
        <v>11</v>
      </c>
      <c r="I12" s="47"/>
      <c r="K12" s="1"/>
      <c r="L12" s="1"/>
      <c r="M12" s="1"/>
      <c r="N12" s="1"/>
      <c r="O12" s="1"/>
    </row>
    <row r="13" spans="1:48">
      <c r="A13" s="1"/>
      <c r="B13" s="1" t="s">
        <v>12</v>
      </c>
      <c r="C13" s="1"/>
      <c r="D13" s="1"/>
      <c r="E13" s="1"/>
      <c r="F13" s="17" t="s">
        <v>13</v>
      </c>
      <c r="G13" s="18">
        <v>6500</v>
      </c>
      <c r="H13" s="19" t="s">
        <v>11</v>
      </c>
      <c r="I13" s="47"/>
      <c r="K13" s="1"/>
      <c r="L13" s="1"/>
      <c r="M13" s="1"/>
      <c r="N13" s="1"/>
      <c r="O13" s="1"/>
      <c r="AJ13" s="66"/>
      <c r="AK13" s="62"/>
      <c r="AL13" s="62"/>
      <c r="AM13" s="62"/>
      <c r="AN13" s="68"/>
    </row>
    <row r="14" spans="1:48">
      <c r="A14" s="1"/>
      <c r="B14" s="1" t="s">
        <v>14</v>
      </c>
      <c r="C14" s="1"/>
      <c r="D14" s="1"/>
      <c r="E14" s="1"/>
      <c r="F14" s="17" t="s">
        <v>15</v>
      </c>
      <c r="G14" s="18">
        <f>16.2*0.052*10500</f>
        <v>8845.1999999999989</v>
      </c>
      <c r="H14" s="18"/>
      <c r="I14" s="19" t="s">
        <v>16</v>
      </c>
      <c r="J14" s="20"/>
      <c r="K14" s="19"/>
      <c r="L14" s="1"/>
      <c r="M14" s="1"/>
      <c r="N14" s="1"/>
      <c r="O14" s="1"/>
      <c r="AJ14" s="66"/>
      <c r="AK14" s="62"/>
      <c r="AL14" s="62"/>
      <c r="AM14" s="62"/>
      <c r="AN14" s="68"/>
    </row>
    <row r="15" spans="1:48">
      <c r="A15" s="1"/>
      <c r="B15" s="1" t="s">
        <v>17</v>
      </c>
      <c r="C15" s="1"/>
      <c r="D15" s="1"/>
      <c r="E15" s="1"/>
      <c r="F15" s="17" t="s">
        <v>18</v>
      </c>
      <c r="G15" s="21">
        <f>16.7*0.052</f>
        <v>0.86839999999999995</v>
      </c>
      <c r="H15" s="21"/>
      <c r="I15" s="19" t="s">
        <v>19</v>
      </c>
      <c r="J15" s="53">
        <f>G15*19.25</f>
        <v>16.716699999999999</v>
      </c>
      <c r="K15" s="19" t="s">
        <v>20</v>
      </c>
      <c r="L15" s="19" t="s">
        <v>20</v>
      </c>
      <c r="M15" s="1"/>
      <c r="N15" s="1"/>
      <c r="O15" s="1"/>
      <c r="AJ15" s="66"/>
      <c r="AK15" s="62"/>
      <c r="AL15" s="62"/>
      <c r="AM15" s="62"/>
      <c r="AN15" s="68"/>
    </row>
    <row r="16" spans="1:48" ht="16" thickBot="1">
      <c r="A16" s="1"/>
      <c r="B16" s="1"/>
      <c r="C16" s="1"/>
      <c r="D16" s="1"/>
      <c r="E16" s="1"/>
      <c r="F16" s="17"/>
      <c r="G16" s="1"/>
      <c r="H16" s="1"/>
      <c r="I16" s="17" t="s">
        <v>21</v>
      </c>
      <c r="J16" s="22">
        <f>G15*G12-G14</f>
        <v>1575.6000000000004</v>
      </c>
      <c r="K16" s="1"/>
      <c r="L16" s="19" t="s">
        <v>22</v>
      </c>
      <c r="M16" s="1"/>
      <c r="N16" s="1"/>
      <c r="O16" s="1"/>
      <c r="AG16" s="87">
        <f>G13</f>
        <v>6500</v>
      </c>
      <c r="AH16" s="88"/>
      <c r="AI16" s="88"/>
      <c r="AJ16" s="67"/>
      <c r="AK16" s="62"/>
      <c r="AL16" s="62"/>
      <c r="AM16" s="62"/>
      <c r="AN16" s="69"/>
      <c r="AO16" s="65" t="s">
        <v>124</v>
      </c>
      <c r="AT16" s="65" t="s">
        <v>128</v>
      </c>
      <c r="AV16" s="65"/>
    </row>
    <row r="17" spans="1:40" ht="16" thickTop="1">
      <c r="A17" s="1"/>
      <c r="B17" s="1" t="s">
        <v>23</v>
      </c>
      <c r="C17" s="1"/>
      <c r="D17" s="1"/>
      <c r="E17" s="1"/>
      <c r="F17" s="17" t="s">
        <v>24</v>
      </c>
      <c r="G17" s="18">
        <v>0</v>
      </c>
      <c r="H17" s="18"/>
      <c r="I17" s="19" t="s">
        <v>25</v>
      </c>
      <c r="J17" s="1"/>
      <c r="K17" s="1"/>
      <c r="L17" s="1"/>
      <c r="M17" s="1"/>
      <c r="N17" s="1"/>
      <c r="O17" s="1"/>
      <c r="AK17" s="63"/>
      <c r="AL17" s="62"/>
      <c r="AM17" s="64"/>
    </row>
    <row r="18" spans="1:40">
      <c r="A18" s="1"/>
      <c r="B18" s="1" t="s">
        <v>26</v>
      </c>
      <c r="C18" s="1"/>
      <c r="D18" s="1"/>
      <c r="E18" s="1"/>
      <c r="F18" s="17" t="s">
        <v>27</v>
      </c>
      <c r="G18" s="18">
        <v>0</v>
      </c>
      <c r="H18" s="18"/>
      <c r="I18" s="19" t="s">
        <v>25</v>
      </c>
      <c r="J18" s="1"/>
      <c r="K18" s="23"/>
      <c r="L18" s="1"/>
      <c r="M18" s="1"/>
      <c r="N18" s="1"/>
      <c r="O18" s="1"/>
      <c r="AK18" s="63"/>
      <c r="AL18" s="62"/>
      <c r="AM18" s="64"/>
    </row>
    <row r="19" spans="1:4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AK19" s="63"/>
      <c r="AL19" s="62"/>
      <c r="AM19" s="64"/>
      <c r="AN19" s="65" t="s">
        <v>125</v>
      </c>
    </row>
    <row r="20" spans="1:40">
      <c r="A20" s="1"/>
      <c r="B20" s="1" t="s">
        <v>28</v>
      </c>
      <c r="C20" s="1"/>
      <c r="D20" s="1"/>
      <c r="E20" s="1"/>
      <c r="F20" s="17" t="s">
        <v>29</v>
      </c>
      <c r="G20" s="49">
        <v>12.25</v>
      </c>
      <c r="H20" s="24"/>
      <c r="I20" s="19" t="s">
        <v>30</v>
      </c>
      <c r="J20" s="1"/>
      <c r="K20" s="1"/>
      <c r="L20" s="1"/>
      <c r="M20" s="1"/>
      <c r="N20" s="1"/>
      <c r="O20" s="1"/>
      <c r="AK20" s="63"/>
      <c r="AL20" s="62"/>
      <c r="AM20" s="64"/>
    </row>
    <row r="21" spans="1:40">
      <c r="A21" s="1"/>
      <c r="B21" s="1" t="s">
        <v>31</v>
      </c>
      <c r="C21" s="1"/>
      <c r="D21" s="1"/>
      <c r="E21" s="1"/>
      <c r="F21" s="17" t="s">
        <v>32</v>
      </c>
      <c r="G21" s="50">
        <v>5</v>
      </c>
      <c r="H21" s="25"/>
      <c r="I21" s="19" t="s">
        <v>30</v>
      </c>
      <c r="J21" s="1"/>
      <c r="K21" s="1"/>
      <c r="L21" s="1"/>
      <c r="M21" s="1"/>
      <c r="N21" s="1"/>
      <c r="O21" s="1"/>
      <c r="AK21" s="63"/>
      <c r="AL21" s="62"/>
      <c r="AM21" s="64"/>
    </row>
    <row r="22" spans="1:40">
      <c r="A22" s="1"/>
      <c r="B22" s="1" t="s">
        <v>33</v>
      </c>
      <c r="C22" s="1"/>
      <c r="D22" s="1"/>
      <c r="E22" s="1"/>
      <c r="F22" s="17" t="s">
        <v>34</v>
      </c>
      <c r="G22" s="51">
        <v>120</v>
      </c>
      <c r="H22" s="26"/>
      <c r="I22" s="19" t="s">
        <v>11</v>
      </c>
      <c r="J22" s="1"/>
      <c r="K22" s="1"/>
      <c r="L22" s="1"/>
      <c r="M22" s="1"/>
      <c r="N22" s="1"/>
      <c r="O22" s="1"/>
      <c r="AK22" s="63"/>
      <c r="AL22" s="62"/>
      <c r="AM22" s="64"/>
    </row>
    <row r="23" spans="1:40">
      <c r="A23" s="1"/>
      <c r="B23" s="1" t="s">
        <v>35</v>
      </c>
      <c r="C23" s="1"/>
      <c r="D23" s="1"/>
      <c r="E23" s="1"/>
      <c r="F23" s="17" t="s">
        <v>36</v>
      </c>
      <c r="G23" s="52">
        <v>8.5</v>
      </c>
      <c r="H23" s="27"/>
      <c r="I23" s="19" t="s">
        <v>30</v>
      </c>
      <c r="J23" s="1"/>
      <c r="K23" s="1"/>
      <c r="L23" s="1"/>
      <c r="M23" s="1"/>
      <c r="N23" s="1"/>
      <c r="O23" s="1"/>
      <c r="AK23" s="95">
        <v>10000</v>
      </c>
      <c r="AL23" s="85"/>
      <c r="AM23" s="86"/>
      <c r="AN23" s="1" t="s">
        <v>9</v>
      </c>
    </row>
    <row r="24" spans="1:40">
      <c r="A24" s="1"/>
      <c r="B24" s="1"/>
      <c r="C24" s="1"/>
      <c r="D24" s="1"/>
      <c r="E24" s="1"/>
      <c r="F24" s="17"/>
      <c r="G24" s="27"/>
      <c r="H24" s="27"/>
      <c r="I24" s="19"/>
      <c r="J24" s="1"/>
      <c r="K24" s="1"/>
      <c r="L24" s="1"/>
      <c r="M24" s="1"/>
      <c r="N24" s="1"/>
      <c r="O24" s="1"/>
    </row>
    <row r="25" spans="1:40">
      <c r="A25" s="1"/>
      <c r="B25" s="1" t="s">
        <v>37</v>
      </c>
      <c r="C25" s="1"/>
      <c r="D25" s="28"/>
      <c r="E25" s="1"/>
      <c r="F25" s="17" t="s">
        <v>38</v>
      </c>
      <c r="G25" s="48">
        <v>40</v>
      </c>
      <c r="H25" s="18"/>
      <c r="I25" s="19" t="s">
        <v>39</v>
      </c>
      <c r="J25" s="29" t="str">
        <f>IF(G34&lt;=G14,"Well flowing","")</f>
        <v/>
      </c>
      <c r="K25" s="30"/>
      <c r="L25" s="1"/>
      <c r="M25" s="1"/>
      <c r="N25" s="1"/>
      <c r="O25" s="1"/>
    </row>
    <row r="26" spans="1:40">
      <c r="A26" s="1"/>
      <c r="B26" s="1" t="s">
        <v>40</v>
      </c>
      <c r="C26" s="1"/>
      <c r="D26" s="1"/>
      <c r="E26" s="1"/>
      <c r="F26" s="17" t="s">
        <v>41</v>
      </c>
      <c r="G26" s="27">
        <v>0.1</v>
      </c>
      <c r="H26" s="27"/>
      <c r="I26" s="19" t="s">
        <v>42</v>
      </c>
      <c r="J26" s="29" t="str">
        <f>IF(G34&lt;=G14,"@ shut-in!","")</f>
        <v/>
      </c>
      <c r="K26" s="1"/>
      <c r="L26" s="1"/>
      <c r="M26" s="1"/>
      <c r="N26" s="1"/>
      <c r="O26" s="1"/>
    </row>
    <row r="27" spans="1:40" ht="13.9" customHeight="1">
      <c r="A27" s="1"/>
      <c r="B27" s="1"/>
      <c r="C27" s="1"/>
      <c r="D27" s="1"/>
      <c r="E27" s="1"/>
      <c r="F27" s="20" t="str">
        <f>IF(G33&gt;G12-G13,"         VKH si &gt;TVD-TVC","")</f>
        <v/>
      </c>
      <c r="G27" s="6"/>
      <c r="H27" s="6"/>
      <c r="I27" s="1"/>
      <c r="J27" s="20" t="str">
        <f>IF(G34&lt;=G14,"BHP&lt;PP","")</f>
        <v/>
      </c>
      <c r="K27" s="1"/>
      <c r="L27" s="1"/>
      <c r="M27" s="1"/>
      <c r="N27" s="1"/>
      <c r="O27" s="1"/>
    </row>
    <row r="28" spans="1:40">
      <c r="A28" s="1"/>
      <c r="B28" s="31" t="s">
        <v>43</v>
      </c>
      <c r="C28" s="1"/>
      <c r="D28" s="1"/>
      <c r="E28" s="1"/>
      <c r="F28" s="19"/>
      <c r="G28" s="32"/>
      <c r="H28" s="32"/>
      <c r="I28" s="19"/>
      <c r="J28" s="1"/>
      <c r="K28" s="1"/>
      <c r="L28" s="1"/>
      <c r="M28" s="1"/>
      <c r="N28" s="1"/>
      <c r="O28" s="1"/>
    </row>
    <row r="29" spans="1:40">
      <c r="A29" s="1"/>
      <c r="B29" s="19" t="s">
        <v>44</v>
      </c>
      <c r="C29" s="19"/>
      <c r="D29" s="1" t="s">
        <v>45</v>
      </c>
      <c r="E29" s="1"/>
      <c r="F29" s="17" t="s">
        <v>46</v>
      </c>
      <c r="G29" s="33">
        <f>(G20^2-G21^2)/1029.46</f>
        <v>0.12148359334019777</v>
      </c>
      <c r="H29" s="33"/>
      <c r="I29" s="19" t="s">
        <v>47</v>
      </c>
      <c r="J29" s="1"/>
      <c r="K29" s="1"/>
      <c r="L29" s="1"/>
      <c r="M29" s="1"/>
      <c r="N29" s="1"/>
      <c r="O29" s="1"/>
    </row>
    <row r="30" spans="1:40">
      <c r="A30" s="1"/>
      <c r="B30" s="1"/>
      <c r="C30" s="1"/>
      <c r="D30" s="1" t="s">
        <v>48</v>
      </c>
      <c r="E30" s="1"/>
      <c r="F30" s="17" t="s">
        <v>49</v>
      </c>
      <c r="G30" s="33">
        <f>(G20^2-G23^2)/1029.46</f>
        <v>7.5585743982281975E-2</v>
      </c>
      <c r="H30" s="33"/>
      <c r="I30" s="19" t="s">
        <v>47</v>
      </c>
      <c r="J30" s="1"/>
      <c r="K30" s="1"/>
      <c r="L30" s="1"/>
      <c r="M30" s="1"/>
      <c r="N30" s="1"/>
      <c r="O30" s="1"/>
    </row>
    <row r="31" spans="1:40">
      <c r="A31" s="1"/>
      <c r="B31" s="1"/>
      <c r="C31" s="1"/>
      <c r="D31" s="34" t="s">
        <v>50</v>
      </c>
      <c r="E31" s="1"/>
      <c r="F31" s="17" t="s">
        <v>51</v>
      </c>
      <c r="G31" s="35">
        <f>(G12-G13)/COS((G18+G17)/2*3.14159/180)</f>
        <v>5500</v>
      </c>
      <c r="H31" s="35"/>
      <c r="I31" s="19" t="s">
        <v>52</v>
      </c>
      <c r="J31" s="1"/>
      <c r="K31" s="1"/>
      <c r="L31" s="1"/>
      <c r="M31" s="1"/>
      <c r="N31" s="1"/>
      <c r="O31" s="1"/>
    </row>
    <row r="32" spans="1:40">
      <c r="A32" s="1"/>
      <c r="B32" s="19" t="s">
        <v>53</v>
      </c>
      <c r="C32" s="1"/>
      <c r="D32" s="1"/>
      <c r="E32" s="1"/>
      <c r="F32" s="1"/>
      <c r="G32" s="1"/>
      <c r="H32" s="1"/>
      <c r="I32" s="1"/>
      <c r="J32" s="34"/>
      <c r="K32" s="1"/>
      <c r="L32" s="1"/>
      <c r="M32" s="1"/>
      <c r="N32" s="1"/>
      <c r="O32" s="1"/>
    </row>
    <row r="33" spans="1:15">
      <c r="A33" s="1"/>
      <c r="B33" s="1"/>
      <c r="C33" s="34" t="s">
        <v>54</v>
      </c>
      <c r="D33" s="1"/>
      <c r="E33" s="1"/>
      <c r="F33" s="17" t="s">
        <v>55</v>
      </c>
      <c r="G33" s="36">
        <f>COS(G18*3.14159/180)*IF((G25/G30)&lt;G22,G25/G30,G22+(G25-G30*G22)/G29)</f>
        <v>374.59990004997502</v>
      </c>
      <c r="H33" s="36"/>
      <c r="I33" s="19" t="s">
        <v>11</v>
      </c>
      <c r="J33" s="1"/>
      <c r="K33" s="19" t="s">
        <v>20</v>
      </c>
      <c r="L33" s="1"/>
      <c r="M33" s="1"/>
      <c r="N33" s="1"/>
      <c r="O33" s="1"/>
    </row>
    <row r="34" spans="1:15">
      <c r="A34" s="1"/>
      <c r="B34" s="1"/>
      <c r="C34" s="1" t="s">
        <v>56</v>
      </c>
      <c r="D34" s="1"/>
      <c r="E34" s="1"/>
      <c r="F34" s="17" t="s">
        <v>57</v>
      </c>
      <c r="G34" s="36">
        <f>IF(G14&lt;G33*G26+(G12-G33)*G15,G33*G26+(G12-G33)*G15,G14)</f>
        <v>10132.9574368016</v>
      </c>
      <c r="H34" s="36"/>
      <c r="I34" s="19" t="s">
        <v>22</v>
      </c>
      <c r="J34" s="1"/>
      <c r="K34" s="19"/>
      <c r="L34" s="1"/>
      <c r="M34" s="1"/>
      <c r="N34" s="1"/>
      <c r="O34" s="1"/>
    </row>
    <row r="35" spans="1:15">
      <c r="A35" s="1"/>
      <c r="B35" s="5" t="s">
        <v>58</v>
      </c>
      <c r="C35" s="1" t="s">
        <v>59</v>
      </c>
      <c r="D35" s="1"/>
      <c r="E35" s="1"/>
      <c r="F35" s="17" t="s">
        <v>60</v>
      </c>
      <c r="G35" s="36">
        <f>COS(G17*3.14159/180)*IF(G22&gt;G31,IF(G25/G30&lt;G22,G25/G30,G22+(G25-G30*G22)/G29),IF(G25/G29&lt;G31-G22,G25/G29,IF(G25&lt;(G31-G22)*G29+G22*G30,G31-G22+(G25-(G31-G22)*G29)/G30,G22+(G25-G22*G30)/G29)))</f>
        <v>329.2625687156422</v>
      </c>
      <c r="H35" s="36"/>
      <c r="I35" s="19" t="s">
        <v>11</v>
      </c>
      <c r="J35" s="1"/>
      <c r="K35" s="1"/>
      <c r="L35" s="1"/>
      <c r="M35" s="1"/>
      <c r="N35" s="1"/>
      <c r="O35" s="1"/>
    </row>
    <row r="36" spans="1:15">
      <c r="A36" s="1"/>
      <c r="B36" s="5"/>
      <c r="C36" s="1" t="s">
        <v>61</v>
      </c>
      <c r="D36" s="1"/>
      <c r="E36" s="1"/>
      <c r="F36" s="17" t="s">
        <v>62</v>
      </c>
      <c r="G36" s="36">
        <f>G25*(G34-G26*G33)/G41</f>
        <v>68.985201337887347</v>
      </c>
      <c r="H36" s="36"/>
      <c r="I36" s="19" t="s">
        <v>39</v>
      </c>
      <c r="J36" s="1"/>
      <c r="K36" s="1"/>
      <c r="L36" s="1"/>
      <c r="M36" s="1"/>
      <c r="N36" s="1"/>
      <c r="O36" s="1"/>
    </row>
    <row r="37" spans="1:15">
      <c r="A37" s="1"/>
      <c r="B37" s="5" t="s">
        <v>58</v>
      </c>
      <c r="C37" s="1" t="s">
        <v>63</v>
      </c>
      <c r="D37" s="1"/>
      <c r="E37" s="1"/>
      <c r="F37" s="17" t="s">
        <v>64</v>
      </c>
      <c r="G37" s="36">
        <f>COS(G17*3.14159/180)*IF(G22&gt;G31,IF(G36/G30&lt;G22,G36/G30,G22+(G36-G30*G22)/G29),IF(G36/G29&lt;G31-G22,G36/G29,IF(G36&lt;(G31-G22)*G29+G22*G30,G31-G22+(G36-(G31-G22)*G29)/G30,G22+(G36-G22*G30)/G29)))</f>
        <v>567.85611489696362</v>
      </c>
      <c r="H37" s="36"/>
      <c r="I37" s="19" t="s">
        <v>11</v>
      </c>
      <c r="J37" s="1"/>
      <c r="K37" s="1"/>
      <c r="L37" s="1"/>
      <c r="M37" s="1"/>
      <c r="N37" s="1"/>
      <c r="O37" s="1"/>
    </row>
    <row r="38" spans="1:15">
      <c r="A38" s="1"/>
      <c r="B38" s="5"/>
      <c r="C38" s="1"/>
      <c r="D38" s="1"/>
      <c r="E38" s="1"/>
      <c r="F38" s="17"/>
      <c r="G38" s="36"/>
      <c r="H38" s="36"/>
      <c r="I38" s="19"/>
      <c r="J38" s="1"/>
      <c r="K38" s="1"/>
      <c r="L38" s="1"/>
      <c r="M38" s="1"/>
      <c r="N38" s="1"/>
      <c r="O38" s="1"/>
    </row>
    <row r="39" spans="1:15">
      <c r="A39" s="1"/>
      <c r="B39" s="19" t="s">
        <v>65</v>
      </c>
      <c r="C39" s="1"/>
      <c r="D39" s="1"/>
      <c r="E39" s="1"/>
      <c r="F39" s="17"/>
      <c r="G39" s="37"/>
      <c r="H39" s="37"/>
      <c r="I39" s="19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 t="s">
        <v>66</v>
      </c>
      <c r="E40" s="1"/>
      <c r="F40" s="17" t="s">
        <v>67</v>
      </c>
      <c r="G40" s="36">
        <f>IF(G33&lt;G12-G13,G34-G33*G26-(G12-G13-G33)*G15,G34-(G12-G13)*G26)</f>
        <v>5644.6</v>
      </c>
      <c r="H40" s="36"/>
      <c r="I40" s="19" t="s">
        <v>22</v>
      </c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 t="s">
        <v>68</v>
      </c>
      <c r="E41" s="1"/>
      <c r="F41" s="17" t="s">
        <v>69</v>
      </c>
      <c r="G41" s="36">
        <f>0.5*(IF((G26*G35+G15*(G12-G35))&lt;G14,G14,G26*G35+G15*(G12-G35))-(G12-G13)*G15-G26*IF(+(G12-G13)&gt;G35,G35,G12-G13))+((0.5*(IF((G26*G35+G15*(G12-G35))&lt;G14,G14,G26*G35+G15*(G12-G35))-(G12-G13)*G15-G26*IF(+(G12-G13)&gt;G35,G35,G12-G13)))^2+((IF((G26*G35+G15*(G12-G35))&lt;G14,G14,G26*G35+G15*(G12-G35))-G26*IF(+(G12-G13)&gt;G35,G35,G12-G13))*G15*IF(+(G12-G13)&gt;G35,G35,G12-G13)))^0.5</f>
        <v>5853.7177545364684</v>
      </c>
      <c r="H41" s="36"/>
      <c r="I41" s="19" t="s">
        <v>22</v>
      </c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7"/>
      <c r="G42" s="36"/>
      <c r="H42" s="36"/>
      <c r="I42" s="19"/>
      <c r="J42" s="1"/>
      <c r="K42" s="1"/>
      <c r="L42" s="1"/>
      <c r="M42" s="1"/>
      <c r="N42" s="1"/>
      <c r="O42" s="1"/>
    </row>
    <row r="43" spans="1:15">
      <c r="A43" s="1"/>
      <c r="B43" s="1" t="s">
        <v>70</v>
      </c>
      <c r="C43" s="1"/>
      <c r="D43" s="1"/>
      <c r="E43" s="1"/>
      <c r="F43" s="17" t="s">
        <v>71</v>
      </c>
      <c r="G43" s="38">
        <f>1/G13*(IF((G26*G33+G15*(G12-G33))&lt;G14,G14,G26*G33+G15*(G12-G33))-IF(G33&gt;(G12-G13),G12-G13,G33)*G26-(G12-G13-IF(G33&gt;(G12-G13),G12-G13,G33))*G15)</f>
        <v>0.86840000000000006</v>
      </c>
      <c r="H43" s="38"/>
      <c r="I43" s="19" t="s">
        <v>19</v>
      </c>
      <c r="J43" s="54">
        <f>G43*19.25</f>
        <v>16.716699999999999</v>
      </c>
      <c r="K43" s="1"/>
      <c r="L43" s="19" t="s">
        <v>20</v>
      </c>
      <c r="M43" s="1"/>
      <c r="N43" s="1"/>
      <c r="O43" s="1"/>
    </row>
    <row r="44" spans="1:15">
      <c r="A44" s="1"/>
      <c r="B44" s="1" t="s">
        <v>72</v>
      </c>
      <c r="C44" s="1"/>
      <c r="D44" s="1"/>
      <c r="E44" s="1"/>
      <c r="F44" s="39" t="s">
        <v>73</v>
      </c>
      <c r="G44" s="40">
        <f>IF(G13=0,"XXXX",G41/G13)</f>
        <v>0.90057196223637981</v>
      </c>
      <c r="H44" s="40"/>
      <c r="I44" s="41" t="s">
        <v>19</v>
      </c>
      <c r="J44" s="55">
        <f>IF(G13=0,"XXXX",G44*19.25)</f>
        <v>17.336010273050313</v>
      </c>
      <c r="K44" s="41" t="s">
        <v>20</v>
      </c>
      <c r="L44" s="19" t="s">
        <v>20</v>
      </c>
      <c r="M44" s="19"/>
      <c r="N44" s="1"/>
      <c r="O44" s="1"/>
    </row>
    <row r="45" spans="1:15">
      <c r="A45" s="1"/>
      <c r="B45" s="1"/>
      <c r="C45" s="1"/>
      <c r="D45" s="1"/>
      <c r="E45" s="1"/>
      <c r="F45" s="42"/>
      <c r="G45" s="20" t="str">
        <f>IF(G15&gt;G44,"Warning! MW &gt; FSG","")</f>
        <v/>
      </c>
      <c r="H45" s="20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20" t="str">
        <f>IF(G43&gt;G44,"Warning! FSG si &gt; FSG exp","")</f>
        <v/>
      </c>
      <c r="H46" s="20"/>
      <c r="I46" s="19"/>
      <c r="J46" s="43"/>
      <c r="K46" s="19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2"/>
      <c r="G47" s="1"/>
      <c r="H47" s="1"/>
      <c r="I47" s="19"/>
      <c r="J47" s="43"/>
      <c r="K47" s="19"/>
      <c r="L47" s="1"/>
      <c r="M47" s="1"/>
      <c r="N47" s="1"/>
      <c r="O47" s="1"/>
    </row>
    <row r="48" spans="1:15">
      <c r="A48" s="1"/>
      <c r="B48" s="19" t="s">
        <v>74</v>
      </c>
      <c r="C48" s="1"/>
      <c r="D48" s="1"/>
      <c r="E48" s="1"/>
      <c r="F48" s="17"/>
      <c r="G48" s="44"/>
      <c r="H48" s="44"/>
      <c r="I48" s="19"/>
      <c r="J48" s="43"/>
      <c r="K48" s="19"/>
      <c r="L48" s="1"/>
      <c r="M48" s="1"/>
      <c r="N48" s="1"/>
      <c r="O48" s="1"/>
    </row>
    <row r="49" spans="1:15">
      <c r="A49" s="1"/>
      <c r="B49" s="19"/>
      <c r="C49" s="1"/>
      <c r="D49" s="1"/>
      <c r="E49" s="1"/>
      <c r="F49" s="17"/>
      <c r="G49" s="44"/>
      <c r="H49" s="44"/>
      <c r="I49" s="19"/>
      <c r="J49" s="43"/>
      <c r="K49" s="19"/>
      <c r="L49" s="1"/>
      <c r="M49" s="1"/>
      <c r="N49" s="1"/>
      <c r="O49" s="1"/>
    </row>
    <row r="50" spans="1:15">
      <c r="A50" s="1"/>
      <c r="B50" s="19" t="s">
        <v>75</v>
      </c>
      <c r="C50" s="1"/>
      <c r="D50" s="1"/>
      <c r="E50" s="1"/>
      <c r="F50" s="17"/>
      <c r="G50" s="44"/>
      <c r="H50" s="44"/>
      <c r="I50" s="19"/>
      <c r="J50" s="43"/>
      <c r="K50" s="19"/>
      <c r="L50" s="1"/>
      <c r="M50" s="1"/>
      <c r="N50" s="1"/>
      <c r="O50" s="1"/>
    </row>
    <row r="51" spans="1:15">
      <c r="A51" s="1"/>
      <c r="B51" s="19" t="s">
        <v>76</v>
      </c>
      <c r="C51" s="1"/>
      <c r="D51" s="1"/>
      <c r="E51" s="1"/>
      <c r="F51" s="17"/>
      <c r="G51" s="44"/>
      <c r="H51" s="44"/>
      <c r="I51" s="19"/>
      <c r="J51" s="43"/>
      <c r="K51" s="19"/>
      <c r="L51" s="1"/>
      <c r="M51" s="1"/>
      <c r="N51" s="1"/>
      <c r="O51" s="1"/>
    </row>
    <row r="52" spans="1:15">
      <c r="A52" s="1"/>
      <c r="B52" s="19" t="s">
        <v>77</v>
      </c>
      <c r="C52" s="1"/>
      <c r="D52" s="1"/>
      <c r="E52" s="1"/>
      <c r="F52" s="17"/>
      <c r="G52" s="44"/>
      <c r="H52" s="44"/>
      <c r="I52" s="19"/>
      <c r="J52" s="43"/>
      <c r="K52" s="19"/>
      <c r="L52" s="1"/>
      <c r="M52" s="1"/>
      <c r="N52" s="1"/>
      <c r="O52" s="1"/>
    </row>
    <row r="53" spans="1:15">
      <c r="A53" s="1"/>
      <c r="B53" s="19" t="s">
        <v>78</v>
      </c>
      <c r="C53" s="1"/>
      <c r="D53" s="1"/>
      <c r="E53" s="1"/>
      <c r="F53" s="17"/>
      <c r="G53" s="44"/>
      <c r="H53" s="44"/>
      <c r="I53" s="19"/>
      <c r="J53" s="43"/>
      <c r="K53" s="19"/>
      <c r="L53" s="1"/>
      <c r="M53" s="1"/>
      <c r="N53" s="1"/>
      <c r="O53" s="1"/>
    </row>
    <row r="54" spans="1:15">
      <c r="A54" s="1"/>
      <c r="B54" s="19" t="s">
        <v>79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9" t="s">
        <v>80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9" t="s">
        <v>81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9" t="s">
        <v>82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9" t="s">
        <v>83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9" t="s">
        <v>84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9" t="s">
        <v>85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9" t="s">
        <v>86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9" t="s">
        <v>87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9" t="s">
        <v>88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9" t="s">
        <v>89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 t="s">
        <v>91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 t="s">
        <v>92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 t="s">
        <v>93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 t="s">
        <v>94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 t="s">
        <v>95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 t="s">
        <v>96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9" t="s">
        <v>97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 t="s">
        <v>98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 t="s">
        <v>99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 t="s">
        <v>100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 t="s">
        <v>101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 t="s">
        <v>102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 t="s">
        <v>103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 t="s">
        <v>104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 t="s">
        <v>105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 t="s">
        <v>106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 t="s">
        <v>107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 t="s">
        <v>108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9" t="s">
        <v>109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 t="s">
        <v>110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 t="s">
        <v>111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9" t="s">
        <v>112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 t="s">
        <v>113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9" t="s">
        <v>114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 t="s">
        <v>115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9" t="s">
        <v>116</v>
      </c>
      <c r="D97" s="10"/>
      <c r="E97" s="10"/>
      <c r="F97" s="10"/>
      <c r="G97" s="10"/>
      <c r="H97" s="10"/>
      <c r="I97" s="11"/>
      <c r="J97" s="1"/>
      <c r="K97" s="1"/>
      <c r="L97" s="1"/>
      <c r="M97" s="1"/>
      <c r="N97" s="1"/>
      <c r="O97" s="1"/>
    </row>
    <row r="98" spans="1:15">
      <c r="A98" s="1"/>
      <c r="B98" s="1"/>
      <c r="C98" s="45" t="s">
        <v>117</v>
      </c>
      <c r="D98" s="1"/>
      <c r="E98" s="1"/>
      <c r="F98" s="1"/>
      <c r="G98" s="1"/>
      <c r="H98" s="1"/>
      <c r="I98" s="46"/>
      <c r="J98" s="1"/>
      <c r="K98" s="1"/>
      <c r="L98" s="1"/>
      <c r="M98" s="1"/>
      <c r="N98" s="1"/>
      <c r="O98" s="1"/>
    </row>
    <row r="99" spans="1:15">
      <c r="A99" s="1"/>
      <c r="B99" s="1"/>
      <c r="C99" s="12" t="s">
        <v>118</v>
      </c>
      <c r="D99" s="13"/>
      <c r="E99" s="13"/>
      <c r="F99" s="13"/>
      <c r="G99" s="13"/>
      <c r="H99" s="13"/>
      <c r="I99" s="14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2">
    <mergeCell ref="AG16:AI16"/>
    <mergeCell ref="AK23:AM23"/>
  </mergeCells>
  <pageMargins left="0.75" right="0.75" top="1" bottom="1" header="0.5" footer="0.5"/>
  <pageSetup orientation="portrait" horizontalDpi="120" verticalDpi="7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20in Casing with 50 bbl</vt:lpstr>
      <vt:lpstr>13-38 Ver with 40 bbl</vt:lpstr>
      <vt:lpstr>9-58 Ver with 40 bbl</vt:lpstr>
      <vt:lpstr>7 in Casing</vt:lpstr>
      <vt:lpstr>13-38 Ver with 40 bbl Deep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yudi hartono</cp:lastModifiedBy>
  <dcterms:created xsi:type="dcterms:W3CDTF">2005-06-10T06:51:24Z</dcterms:created>
  <dcterms:modified xsi:type="dcterms:W3CDTF">2026-06-12T22:45:42Z</dcterms:modified>
</cp:coreProperties>
</file>