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as\Downloads\Training IP\"/>
    </mc:Choice>
  </mc:AlternateContent>
  <xr:revisionPtr revIDLastSave="0" documentId="13_ncr:1_{962D2A71-8F54-4407-AF2A-A0107B837DB2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Info" sheetId="1" r:id="rId1"/>
    <sheet name="Usage" sheetId="2" r:id="rId2"/>
    <sheet name="Reference" sheetId="3" r:id="rId3"/>
    <sheet name="Sheet1" sheetId="18" r:id="rId4"/>
    <sheet name="waterprop" sheetId="4" state="veryHidden" r:id=""/>
  </sheets>
  <functionGroups builtInGroupCount="19"/>
  <externalReferences>
    <externalReference r:id="rId5"/>
  </externalReferences>
  <definedNames>
    <definedName name="Chromium_Iron">#REF!</definedName>
  </definedNames>
  <calcPr calcId="191029"/>
</workbook>
</file>

<file path=xl/calcChain.xml><?xml version="1.0" encoding="utf-8"?>
<calcChain xmlns="http://schemas.openxmlformats.org/spreadsheetml/2006/main">
  <c r="B20" i="18" l="1"/>
  <c r="B16" i="18"/>
  <c r="B14" i="18"/>
  <c r="C13" i="18"/>
  <c r="C10" i="18"/>
  <c r="B13" i="18"/>
  <c r="B10" i="18"/>
  <c r="C9" i="18"/>
  <c r="B9" i="18"/>
  <c r="F130" i="3"/>
  <c r="F80" i="3"/>
  <c r="F114" i="3"/>
  <c r="F97" i="3"/>
  <c r="F31" i="3"/>
  <c r="F17" i="3"/>
  <c r="F64" i="3"/>
  <c r="F146" i="3"/>
  <c r="F47" i="3"/>
  <c r="C12" i="18"/>
  <c r="C11" i="18"/>
  <c r="B12" i="18"/>
  <c r="B11" i="18"/>
</calcChain>
</file>

<file path=xl/sharedStrings.xml><?xml version="1.0" encoding="utf-8"?>
<sst xmlns="http://schemas.openxmlformats.org/spreadsheetml/2006/main" count="232" uniqueCount="142">
  <si>
    <t>Properties of Water and Steam</t>
  </si>
  <si>
    <t xml:space="preserve">Authored by </t>
  </si>
  <si>
    <t>Bernhard Spang, The Mining Company</t>
  </si>
  <si>
    <t xml:space="preserve">URL: </t>
  </si>
  <si>
    <t>http://chemengineer.miningco.com</t>
  </si>
  <si>
    <t>email:</t>
  </si>
  <si>
    <t>chemengineer.guide@miningco.com</t>
  </si>
  <si>
    <t>Copyright 1997 by Bernhard Spang. All rights reserved.</t>
  </si>
  <si>
    <t xml:space="preserve">May be redistributed for free, but may not be changed or sold without the author's explicit permission.  </t>
  </si>
  <si>
    <t xml:space="preserve">Provided "as is" without warranty of any kind. </t>
  </si>
  <si>
    <t>This workbook contains Visual Basic functions for calculating properties of water and steam.</t>
  </si>
  <si>
    <t>Functions for the following properties are available:</t>
  </si>
  <si>
    <t xml:space="preserve">boiling point as a function of pressure, vapor pressure, specific volume or density, specific enthalpy, </t>
  </si>
  <si>
    <t>heat capacity, viscosity, and thermal conductivity.</t>
  </si>
  <si>
    <r>
      <t xml:space="preserve">See </t>
    </r>
    <r>
      <rPr>
        <b/>
        <sz val="10"/>
        <color indexed="10"/>
        <rFont val="Arial"/>
        <family val="2"/>
      </rPr>
      <t>Usage</t>
    </r>
    <r>
      <rPr>
        <sz val="10"/>
        <rFont val="Arial"/>
        <family val="2"/>
      </rPr>
      <t xml:space="preserve"> for an explanation of how to access the functions from within your spreadsheets.</t>
    </r>
  </si>
  <si>
    <r>
      <t xml:space="preserve">See </t>
    </r>
    <r>
      <rPr>
        <b/>
        <sz val="10"/>
        <color indexed="10"/>
        <rFont val="Arial"/>
        <family val="2"/>
      </rPr>
      <t>Reference</t>
    </r>
    <r>
      <rPr>
        <sz val="10"/>
        <rFont val="Arial"/>
        <family val="2"/>
      </rPr>
      <t xml:space="preserve"> for a list of available functions with syntax, arguments, units, and examples of use.</t>
    </r>
  </si>
  <si>
    <t>Note that the explanations given in this workbook relate to the use of the functions with source module sheet waterprop.</t>
  </si>
  <si>
    <t>For an explanation of how to use the functions with the Add-In file water.xla see the Readme file which accompanies water.xla.</t>
  </si>
  <si>
    <t>Source of equations:</t>
  </si>
  <si>
    <t xml:space="preserve">Properties of Water and Steam in SI-Units, </t>
  </si>
  <si>
    <t>2nd Revised and Updated Printing, Springer 1979, pp. 175 ff.</t>
  </si>
  <si>
    <t>Usage</t>
  </si>
  <si>
    <t>Property data are available by calling the appropriate property function using the syntax</t>
  </si>
  <si>
    <r>
      <t>=water.xls!waterprop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</si>
  <si>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where</t>
  </si>
  <si>
    <r>
      <t>functionname</t>
    </r>
    <r>
      <rPr>
        <sz val="10"/>
        <rFont val="Arial"/>
        <family val="2"/>
      </rPr>
      <t xml:space="preserve"> is the name of the function (see Reference)</t>
    </r>
  </si>
  <si>
    <t>and</t>
  </si>
  <si>
    <r>
      <t>parameterlist</t>
    </r>
    <r>
      <rPr>
        <sz val="10"/>
        <rFont val="Arial"/>
        <family val="2"/>
      </rPr>
      <t xml:space="preserve"> is the list of arguments for this function</t>
    </r>
  </si>
  <si>
    <r>
      <t xml:space="preserve">If the Visual Basic module </t>
    </r>
    <r>
      <rPr>
        <b/>
        <sz val="10"/>
        <color indexed="12"/>
        <rFont val="Arial"/>
        <family val="2"/>
      </rPr>
      <t>waterprop</t>
    </r>
    <r>
      <rPr>
        <sz val="10"/>
        <rFont val="Arial"/>
        <family val="2"/>
      </rPr>
      <t xml:space="preserve"> is copied from </t>
    </r>
    <r>
      <rPr>
        <b/>
        <sz val="10"/>
        <color indexed="12"/>
        <rFont val="Arial"/>
        <family val="2"/>
      </rPr>
      <t>water.xls</t>
    </r>
    <r>
      <rPr>
        <sz val="10"/>
        <rFont val="Arial"/>
        <family val="2"/>
      </rPr>
      <t xml:space="preserve"> to the Excel workbook </t>
    </r>
  </si>
  <si>
    <t>where property data are needed the simplified syntax is</t>
  </si>
  <si>
    <r>
      <t>=waterprop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</si>
  <si>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Reference</t>
  </si>
  <si>
    <t>Available functions:</t>
  </si>
  <si>
    <t>1. Boiling point as a function of pressure</t>
  </si>
  <si>
    <t>a) Usage:</t>
  </si>
  <si>
    <t>waterprop.BOILP(P)</t>
  </si>
  <si>
    <t>b) Argument(s):</t>
  </si>
  <si>
    <t>P</t>
  </si>
  <si>
    <t>pressure in bar</t>
  </si>
  <si>
    <t xml:space="preserve">c) Unit: </t>
  </si>
  <si>
    <t>boiling point in K</t>
  </si>
  <si>
    <t>d) Range of validity:</t>
  </si>
  <si>
    <t>0.01 bar &lt; p &lt; 220 bar</t>
  </si>
  <si>
    <t>e) Example:</t>
  </si>
  <si>
    <t>Boiling point of water at 1 bar in °C</t>
  </si>
  <si>
    <t xml:space="preserve">Formula in worksheet cell: </t>
  </si>
  <si>
    <t>=waterprop.BOILP(1)-273.15</t>
  </si>
  <si>
    <t>And the result is:</t>
  </si>
  <si>
    <t>°C</t>
  </si>
  <si>
    <t>2. Vapor pressure</t>
  </si>
  <si>
    <t>waterprop.VAPP(T)</t>
  </si>
  <si>
    <t>T</t>
  </si>
  <si>
    <t>temperature in K</t>
  </si>
  <si>
    <t>vapor pressure in bar</t>
  </si>
  <si>
    <t>273.16 K &lt; T &lt; 623 K</t>
  </si>
  <si>
    <t>Vapor pressure of water at 100 °C</t>
  </si>
  <si>
    <t>=waterprop.VAPP(373.15)</t>
  </si>
  <si>
    <t>bar</t>
  </si>
  <si>
    <t>3. Specific volume (or density) of liquid water</t>
  </si>
  <si>
    <t>waterprop.VSUB1(T; P)</t>
  </si>
  <si>
    <t xml:space="preserve">T </t>
  </si>
  <si>
    <r>
      <t>specific volume in 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</si>
  <si>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273.16 K &lt; T &lt; 623.15 K</t>
  </si>
  <si>
    <t>vapor pressure &lt; p &lt; 1000 bar</t>
  </si>
  <si>
    <t>Density of water at 20 °C and 1 bar</t>
  </si>
  <si>
    <t>=1/waterprop.VSUB1(293.15; 1)</t>
  </si>
  <si>
    <r>
      <t>kg/m</t>
    </r>
    <r>
      <rPr>
        <vertAlign val="superscript"/>
        <sz val="10"/>
        <rFont val="Arial"/>
        <family val="2"/>
      </rPr>
      <t>3</t>
    </r>
  </si>
  <si>
    <t>4. Specific volume (or density) of steam</t>
  </si>
  <si>
    <t>waterprop.VSUB2(T; P)</t>
  </si>
  <si>
    <t xml:space="preserve">273.16 K &lt; T &lt; 1073.15 K </t>
  </si>
  <si>
    <t>0 &lt; p &lt; vapor pressure</t>
  </si>
  <si>
    <t>Specific volume of saturated vapor at 5 bar</t>
  </si>
  <si>
    <t>Note the use of BOILP for determining the boiling point</t>
  </si>
  <si>
    <t>=waterprop.VSUB2(waterprop.BOILP(5);5)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</si>
  <si>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</si>
  <si>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5. Specific enthalpy of liquid water</t>
  </si>
  <si>
    <t>waterprop.HSUB1(T; P)</t>
  </si>
  <si>
    <t>specific enthalpy in kJ/kg</t>
  </si>
  <si>
    <t>Enthalpy of water at 20 °C and 1 bar</t>
  </si>
  <si>
    <t xml:space="preserve"> =waterprop.HSUB1(293.15; 1)</t>
  </si>
  <si>
    <t>kJ/kg</t>
  </si>
  <si>
    <t>6. Specific enthalpy of steam</t>
  </si>
  <si>
    <t>waterprop.HSUB2(T; P)</t>
  </si>
  <si>
    <t>Enthalpy of saturated vapor at 5 bar</t>
  </si>
  <si>
    <t>=waterprop.HSUB2(waterprop.BOILP(5);5)</t>
  </si>
  <si>
    <t>7. Heat capacity</t>
  </si>
  <si>
    <t>waterprop.HCAP(T; P; IAG)</t>
  </si>
  <si>
    <t>IAG</t>
  </si>
  <si>
    <t>state: 1 for liquid water, 2 for steam</t>
  </si>
  <si>
    <t>heat capacity in kJ/(kg K)</t>
  </si>
  <si>
    <t>0 &lt; p &lt; 1000 bar</t>
  </si>
  <si>
    <t>Heat capacity of water at 20 °C and 1 bar</t>
  </si>
  <si>
    <t xml:space="preserve"> =waterprop.HCAP(293.15;1;1)</t>
  </si>
  <si>
    <t>kJ/(kg K)</t>
  </si>
  <si>
    <t>8. Dynamic viscosity</t>
  </si>
  <si>
    <t>waterprop.ETAF(T; V)</t>
  </si>
  <si>
    <t>V</t>
  </si>
  <si>
    <t>specific volume in m3/kg</t>
  </si>
  <si>
    <r>
      <t>dynamic viscosity in 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Pa s</t>
    </r>
  </si>
  <si>
    <t>0 °C &lt; T &lt; 800 °C</t>
  </si>
  <si>
    <t>p &lt; 1000 bar</t>
  </si>
  <si>
    <t>Viscosity of water at 20 °C and 1 bar</t>
  </si>
  <si>
    <t xml:space="preserve"> =waterprop.ETAF(293.15; waterprop.VSUB1(293.15;1))</t>
  </si>
  <si>
    <t>Pa s</t>
  </si>
  <si>
    <t>9. Thermal conductivity</t>
  </si>
  <si>
    <t>waterprop.TCON(T; V)</t>
  </si>
  <si>
    <t>thermal conductivity W /(K m)</t>
  </si>
  <si>
    <t>0 °C &lt; T &lt; 1500 °C</t>
  </si>
  <si>
    <t>p &lt; 3000 bar</t>
  </si>
  <si>
    <t>Thermal conductivity of saturated vapor at 5 bar</t>
  </si>
  <si>
    <t xml:space="preserve"> =waterprop.TCON(BOILP(5); waterprop.VSUB2(BOILP(5);5))</t>
  </si>
  <si>
    <t>W/(K m)</t>
  </si>
  <si>
    <t>Area =</t>
  </si>
  <si>
    <t>sq-km</t>
  </si>
  <si>
    <t>Thickness =</t>
  </si>
  <si>
    <t>m</t>
  </si>
  <si>
    <t>porositas =</t>
  </si>
  <si>
    <t>rock heat capacity =</t>
  </si>
  <si>
    <t>kJ/(kg.deg-C)</t>
  </si>
  <si>
    <t>densitas batuan =</t>
  </si>
  <si>
    <t>kg/cu-m</t>
  </si>
  <si>
    <t>Ti</t>
  </si>
  <si>
    <t>Tf</t>
  </si>
  <si>
    <t>Saturasi Air =</t>
  </si>
  <si>
    <t>Saturasi Uap =</t>
  </si>
  <si>
    <t>En. Batuan =</t>
  </si>
  <si>
    <t>En. Air =</t>
  </si>
  <si>
    <t>=B1*1000000*B2*(1-B3)*B5*B4*B7</t>
  </si>
  <si>
    <t>=B1*1000000*B2*B3*B8*1/VSUB1(B7+273.15,vapp(B7+273.15))*hsub1(B7+273.15,vapp(B7+273.15))</t>
  </si>
  <si>
    <t>En. Uap =</t>
  </si>
  <si>
    <t>En. Total =</t>
  </si>
  <si>
    <t>=B1*1000000*B2*B3*B9*1/VSUB2(B7+273.15,vapp(B7+273.15))*hsub2(B7+273.15,vapp(B7+273.15))</t>
  </si>
  <si>
    <t>=SUM(B10:B12)</t>
  </si>
  <si>
    <t>Av. Energy =</t>
  </si>
  <si>
    <t>=B13-C13</t>
  </si>
  <si>
    <t>Rocovery Factor =</t>
  </si>
  <si>
    <t>Recoverable En. =</t>
  </si>
  <si>
    <t>=B14*B15</t>
  </si>
  <si>
    <t>MW =</t>
  </si>
  <si>
    <t>El. Conv. Fact. =</t>
  </si>
  <si>
    <t>Life Time =</t>
  </si>
  <si>
    <t>Capacity Fact.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</si>
</sst>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E+00"/>
  </numFmts>
  <fonts count="11" x14ac:knownFonts="1">
    <font>
      <sz val="10"/>
      <name val="Arial"/>
    </font>
    <font>
      <b/>
      <sz val="14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0" fontId="6" fillId="0" borderId="0" xfId="0" applyFont="1"/>
    <xf numFmtId="49" fontId="3" fillId="0" borderId="0" xfId="0" applyNumberFormat="1" applyFont="1"/>
    <xf numFmtId="0" fontId="7" fillId="0" borderId="0" xfId="0" applyFont="1"/>
    <xf numFmtId="2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166" fontId="8" fillId="0" borderId="0" xfId="0" applyNumberFormat="1" applyFont="1"/>
    <xf numFmtId="167" fontId="8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9" fillId="2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 wrapText="1"/>
    </xf>
    <xf numFmtId="0" fontId="2" fillId="0" borderId="0" xfId="0" applyFont="1" applyAlignment="1">
      <alignment horizontal="centerContinuous" wrapText="1"/>
    </xf>
    <xf numFmtId="0" fontId="1" fillId="2" borderId="0" xfId="0" applyFont="1" applyFill="1" applyAlignment="1">
      <alignment horizontal="centerContinuous"/>
    </xf>
    <xf numFmtId="49" fontId="3" fillId="0" borderId="0" xfId="0" applyNumberFormat="1" applyFont="1" applyAlignment="1">
      <alignment horizontal="centerContinuous"/>
    </xf>
    <xf numFmtId="0" fontId="10" fillId="0" borderId="0" xfId="0" applyFont="1"/>
    <xf numFmtId="0" fontId="2" fillId="0" borderId="0" xfId="0" quotePrefix="1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enny%20Saptadji/Application%20Data/Microsoft/AddIns/Steamprog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Usage"/>
      <sheetName val="Reference"/>
      <sheetName val="waterprop"/>
      <sheetName val="Steamprog"/>
    </sheetNames>
    <definedNames>
      <definedName name="BOILP"/>
      <definedName name="waterprop.BOILP"/>
      <definedName name="waterprop.ETAF"/>
      <definedName name="waterprop.HCAP"/>
      <definedName name="waterprop.HSUB1"/>
      <definedName name="waterprop.HSUB2"/>
      <definedName name="waterprop.TCON"/>
      <definedName name="waterprop.VAPP"/>
      <definedName name="waterprop.VSUB1"/>
      <definedName name="waterprop.VSUB2"/>
    </defined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showGridLines="0" topLeftCell="A22" zoomScale="175" zoomScaleNormal="175" workbookViewId="0">
      <selection activeCell="H19" sqref="H19"/>
    </sheetView>
  </sheetViews>
  <sheetFormatPr defaultColWidth="11.453125" defaultRowHeight="12.5" x14ac:dyDescent="0.25"/>
  <sheetData>
    <row r="1" spans="1:7" ht="18" x14ac:dyDescent="0.4">
      <c r="A1" s="20" t="s">
        <v>0</v>
      </c>
      <c r="B1" s="17"/>
      <c r="C1" s="17"/>
      <c r="D1" s="17"/>
      <c r="E1" s="17"/>
      <c r="F1" s="17"/>
      <c r="G1" s="17"/>
    </row>
    <row r="2" spans="1:7" ht="18" x14ac:dyDescent="0.4">
      <c r="A2" s="1"/>
    </row>
    <row r="3" spans="1:7" x14ac:dyDescent="0.25">
      <c r="A3" s="2" t="s">
        <v>1</v>
      </c>
      <c r="B3" t="s">
        <v>2</v>
      </c>
    </row>
    <row r="4" spans="1:7" x14ac:dyDescent="0.25">
      <c r="A4" s="2" t="s">
        <v>3</v>
      </c>
      <c r="B4" t="s">
        <v>4</v>
      </c>
    </row>
    <row r="5" spans="1:7" x14ac:dyDescent="0.25">
      <c r="A5" s="2" t="s">
        <v>5</v>
      </c>
      <c r="B5" t="s">
        <v>6</v>
      </c>
    </row>
    <row r="6" spans="1:7" x14ac:dyDescent="0.25">
      <c r="A6" s="2"/>
    </row>
    <row r="7" spans="1:7" x14ac:dyDescent="0.25">
      <c r="A7" s="4" t="s">
        <v>7</v>
      </c>
    </row>
    <row r="8" spans="1:7" x14ac:dyDescent="0.25">
      <c r="A8" s="4" t="s">
        <v>8</v>
      </c>
    </row>
    <row r="9" spans="1:7" x14ac:dyDescent="0.25">
      <c r="A9" s="4" t="s">
        <v>9</v>
      </c>
    </row>
    <row r="10" spans="1:7" x14ac:dyDescent="0.25">
      <c r="A10" s="4"/>
    </row>
    <row r="11" spans="1:7" s="14" customFormat="1" x14ac:dyDescent="0.25">
      <c r="A11" s="14" t="s">
        <v>10</v>
      </c>
      <c r="B11" s="15"/>
      <c r="C11" s="15"/>
      <c r="D11" s="15"/>
      <c r="E11" s="15"/>
      <c r="F11" s="15"/>
      <c r="G11" s="15"/>
    </row>
    <row r="12" spans="1:7" s="14" customFormat="1" x14ac:dyDescent="0.25">
      <c r="A12" s="14" t="s">
        <v>11</v>
      </c>
      <c r="B12" s="15"/>
      <c r="C12" s="15"/>
      <c r="D12" s="15"/>
      <c r="E12" s="15"/>
      <c r="F12" s="15"/>
      <c r="G12" s="15"/>
    </row>
    <row r="13" spans="1:7" s="14" customFormat="1" x14ac:dyDescent="0.25">
      <c r="A13" s="14" t="s">
        <v>12</v>
      </c>
      <c r="B13" s="15"/>
      <c r="C13" s="15"/>
      <c r="D13" s="15"/>
      <c r="E13" s="15"/>
      <c r="F13" s="15"/>
      <c r="G13" s="15"/>
    </row>
    <row r="14" spans="1:7" s="14" customFormat="1" x14ac:dyDescent="0.25">
      <c r="A14" s="14" t="s">
        <v>13</v>
      </c>
      <c r="B14" s="15"/>
      <c r="C14" s="15"/>
      <c r="D14" s="15"/>
      <c r="E14" s="15"/>
      <c r="F14" s="15"/>
      <c r="G14" s="15"/>
    </row>
    <row r="15" spans="1:7" x14ac:dyDescent="0.25">
      <c r="A15" s="4"/>
      <c r="B15" s="5"/>
      <c r="C15" s="5"/>
      <c r="D15" s="5"/>
      <c r="E15" s="5"/>
      <c r="F15" s="5"/>
      <c r="G15" s="5"/>
    </row>
    <row r="16" spans="1:7" s="14" customFormat="1" ht="13" x14ac:dyDescent="0.3">
      <c r="A16" s="14" t="s">
        <v>14</v>
      </c>
      <c r="B16" s="15"/>
      <c r="C16" s="15"/>
      <c r="D16" s="15"/>
      <c r="E16" s="15"/>
      <c r="F16" s="15"/>
      <c r="G16" s="15"/>
    </row>
    <row r="17" spans="1:9" s="14" customFormat="1" ht="13" x14ac:dyDescent="0.3">
      <c r="A17" s="14" t="s">
        <v>15</v>
      </c>
      <c r="B17" s="15"/>
      <c r="C17" s="15"/>
      <c r="D17" s="15"/>
      <c r="E17" s="15"/>
      <c r="F17" s="15"/>
      <c r="G17" s="15"/>
    </row>
    <row r="18" spans="1:9" s="14" customFormat="1" x14ac:dyDescent="0.25">
      <c r="B18" s="15"/>
      <c r="C18" s="15"/>
      <c r="D18" s="15"/>
      <c r="E18" s="15"/>
      <c r="F18" s="15"/>
      <c r="G18" s="15"/>
    </row>
    <row r="19" spans="1:9" s="14" customFormat="1" x14ac:dyDescent="0.25">
      <c r="A19" s="14" t="s">
        <v>16</v>
      </c>
      <c r="B19" s="15"/>
      <c r="C19" s="15"/>
      <c r="D19" s="15"/>
      <c r="E19" s="15"/>
      <c r="F19" s="15"/>
      <c r="G19" s="15"/>
    </row>
    <row r="20" spans="1:9" s="14" customFormat="1" x14ac:dyDescent="0.25">
      <c r="A20" s="14" t="s">
        <v>17</v>
      </c>
      <c r="B20" s="15"/>
      <c r="C20" s="15"/>
      <c r="D20" s="15"/>
      <c r="E20" s="15"/>
      <c r="F20" s="15"/>
      <c r="G20" s="15"/>
    </row>
    <row r="21" spans="1:9" s="14" customFormat="1" x14ac:dyDescent="0.25">
      <c r="B21" s="15"/>
      <c r="C21" s="15"/>
      <c r="D21" s="15"/>
      <c r="E21" s="15"/>
      <c r="F21" s="15"/>
      <c r="G21" s="15"/>
      <c r="H21" s="15"/>
      <c r="I21" s="15"/>
    </row>
    <row r="22" spans="1:9" s="14" customFormat="1" x14ac:dyDescent="0.25">
      <c r="A22" s="14" t="s">
        <v>18</v>
      </c>
      <c r="B22" s="15"/>
      <c r="C22" s="15"/>
      <c r="D22" s="15"/>
      <c r="E22" s="15"/>
      <c r="F22" s="15"/>
      <c r="G22" s="15"/>
      <c r="H22" s="15"/>
      <c r="I22" s="15"/>
    </row>
    <row r="23" spans="1:9" s="14" customFormat="1" x14ac:dyDescent="0.25">
      <c r="A23" s="14" t="s">
        <v>19</v>
      </c>
      <c r="B23" s="15"/>
      <c r="C23" s="15"/>
      <c r="D23" s="15"/>
      <c r="E23" s="15"/>
      <c r="F23" s="15"/>
      <c r="G23" s="15"/>
      <c r="H23" s="15"/>
      <c r="I23" s="15"/>
    </row>
    <row r="24" spans="1:9" s="14" customFormat="1" x14ac:dyDescent="0.25">
      <c r="A24" s="14" t="s">
        <v>20</v>
      </c>
      <c r="B24" s="15"/>
      <c r="C24" s="15"/>
      <c r="D24" s="15"/>
      <c r="E24" s="15"/>
      <c r="F24" s="15"/>
      <c r="G24" s="15"/>
      <c r="H24" s="15"/>
      <c r="I24" s="15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showGridLines="0" workbookViewId="0">
      <selection activeCell="C10" sqref="C10"/>
    </sheetView>
  </sheetViews>
  <sheetFormatPr defaultColWidth="11.453125" defaultRowHeight="12.5" x14ac:dyDescent="0.25"/>
  <cols>
    <col min="1" max="7" width="11.453125" style="17" customWidth="1"/>
  </cols>
  <sheetData>
    <row r="1" spans="1:9" ht="15.5" x14ac:dyDescent="0.35">
      <c r="A1" s="16" t="s">
        <v>21</v>
      </c>
    </row>
    <row r="2" spans="1:9" s="4" customFormat="1" ht="10" x14ac:dyDescent="0.2">
      <c r="A2" s="18"/>
      <c r="B2" s="18"/>
      <c r="C2" s="18"/>
      <c r="D2" s="18"/>
      <c r="E2" s="18"/>
      <c r="F2" s="18"/>
      <c r="G2" s="18"/>
      <c r="H2" s="5"/>
      <c r="I2" s="5"/>
    </row>
    <row r="3" spans="1:9" s="4" customFormat="1" x14ac:dyDescent="0.25">
      <c r="A3" s="14" t="s">
        <v>22</v>
      </c>
      <c r="B3" s="18"/>
      <c r="C3" s="18"/>
      <c r="D3" s="18"/>
      <c r="E3" s="18"/>
      <c r="F3" s="18"/>
      <c r="G3" s="18"/>
      <c r="H3" s="5"/>
      <c r="I3" s="5"/>
    </row>
    <row r="4" spans="1:9" s="4" customFormat="1" x14ac:dyDescent="0.25">
      <c r="A4" s="14"/>
      <c r="B4" s="18"/>
      <c r="C4" s="18"/>
      <c r="D4" s="18"/>
      <c r="E4" s="18"/>
      <c r="F4" s="18"/>
      <c r="G4" s="18"/>
      <c r="H4" s="5"/>
      <c r="I4" s="5"/>
    </row>
    <row r="5" spans="1:9" s="4" customFormat="1" ht="13" x14ac:dyDescent="0.3">
      <c r="A5" s="21" t="s">
        <v>23</v>
      </c>
      <c r="B5" s="19"/>
      <c r="C5" s="19"/>
      <c r="D5" s="19"/>
      <c r="E5" s="19"/>
      <c r="F5" s="19"/>
      <c r="G5" s="19"/>
      <c r="H5" s="5"/>
      <c r="I5" s="5"/>
    </row>
    <row r="6" spans="1:9" s="4" customFormat="1" ht="13" x14ac:dyDescent="0.3">
      <c r="A6" s="21"/>
      <c r="B6" s="19"/>
      <c r="C6" s="19"/>
      <c r="D6" s="19"/>
      <c r="E6" s="19"/>
      <c r="F6" s="19"/>
      <c r="G6" s="19"/>
      <c r="H6" s="5"/>
      <c r="I6" s="5"/>
    </row>
    <row r="7" spans="1:9" s="4" customFormat="1" ht="13" x14ac:dyDescent="0.3">
      <c r="A7" s="14" t="s">
        <v>24</v>
      </c>
      <c r="B7" s="22" t="s">
        <v>25</v>
      </c>
      <c r="C7" s="15"/>
      <c r="D7" s="15"/>
      <c r="E7" s="15"/>
      <c r="F7" s="15"/>
      <c r="G7" s="15"/>
      <c r="H7" s="5"/>
      <c r="I7" s="5"/>
    </row>
    <row r="8" spans="1:9" s="4" customFormat="1" ht="13" x14ac:dyDescent="0.3">
      <c r="A8" t="s">
        <v>26</v>
      </c>
      <c r="B8" s="22" t="s">
        <v>27</v>
      </c>
      <c r="C8" s="15"/>
      <c r="D8" s="15"/>
      <c r="E8" s="15"/>
      <c r="F8" s="15"/>
      <c r="G8" s="15"/>
      <c r="H8" s="5"/>
      <c r="I8" s="5"/>
    </row>
    <row r="9" spans="1:9" s="4" customFormat="1" ht="13" x14ac:dyDescent="0.3">
      <c r="A9"/>
      <c r="B9" s="22"/>
      <c r="C9" s="15"/>
      <c r="D9" s="15"/>
      <c r="E9" s="15"/>
      <c r="F9" s="15"/>
      <c r="G9" s="15"/>
      <c r="H9" s="5"/>
      <c r="I9" s="5"/>
    </row>
    <row r="10" spans="1:9" s="4" customFormat="1" ht="13" x14ac:dyDescent="0.3">
      <c r="A10" s="14" t="s">
        <v>28</v>
      </c>
      <c r="B10" s="15"/>
      <c r="C10" s="15"/>
      <c r="D10" s="15"/>
      <c r="E10" s="15"/>
      <c r="F10" s="15"/>
      <c r="G10" s="15"/>
      <c r="H10" s="5"/>
      <c r="I10" s="5"/>
    </row>
    <row r="11" spans="1:9" s="4" customFormat="1" x14ac:dyDescent="0.25">
      <c r="A11" s="14" t="s">
        <v>29</v>
      </c>
      <c r="B11" s="15"/>
      <c r="C11" s="15"/>
      <c r="D11" s="15"/>
      <c r="E11" s="15"/>
      <c r="F11" s="15"/>
      <c r="G11" s="15"/>
      <c r="H11" s="5"/>
      <c r="I11" s="5"/>
    </row>
    <row r="12" spans="1:9" s="4" customFormat="1" x14ac:dyDescent="0.25">
      <c r="A12"/>
      <c r="B12" s="19"/>
      <c r="C12" s="19"/>
      <c r="D12" s="19"/>
      <c r="E12" s="19"/>
      <c r="F12" s="19"/>
      <c r="G12" s="19"/>
      <c r="H12" s="5"/>
      <c r="I12" s="5"/>
    </row>
    <row r="13" spans="1:9" s="4" customFormat="1" ht="13" x14ac:dyDescent="0.3">
      <c r="A13" s="21" t="s">
        <v>30</v>
      </c>
      <c r="B13" s="19"/>
      <c r="C13" s="19"/>
      <c r="D13" s="19"/>
      <c r="E13" s="19"/>
      <c r="F13" s="19"/>
      <c r="G13" s="19"/>
      <c r="H13" s="5"/>
      <c r="I13" s="5"/>
    </row>
    <row r="14" spans="1:9" s="4" customFormat="1" ht="13" x14ac:dyDescent="0.3">
      <c r="A14" s="21"/>
      <c r="B14" s="19"/>
      <c r="C14" s="19"/>
      <c r="D14" s="19"/>
      <c r="E14" s="19"/>
      <c r="F14" s="19"/>
      <c r="G14" s="19"/>
      <c r="H14" s="5"/>
      <c r="I14" s="5"/>
    </row>
    <row r="15" spans="1:9" x14ac:dyDescent="0.25">
      <c r="A15"/>
      <c r="B15"/>
      <c r="C15"/>
      <c r="D15"/>
      <c r="E15"/>
      <c r="F15"/>
      <c r="G15"/>
    </row>
    <row r="16" spans="1:9" x14ac:dyDescent="0.25">
      <c r="A16"/>
      <c r="B16"/>
      <c r="C16"/>
      <c r="D16"/>
      <c r="E16"/>
      <c r="F16"/>
      <c r="G16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46"/>
  <sheetViews>
    <sheetView showGridLines="0" topLeftCell="A88" zoomScale="130" zoomScaleNormal="130" workbookViewId="0">
      <selection activeCell="D100" sqref="D100"/>
    </sheetView>
  </sheetViews>
  <sheetFormatPr defaultColWidth="11.453125" defaultRowHeight="12.5" x14ac:dyDescent="0.25"/>
  <sheetData>
    <row r="1" spans="1:9" ht="15.5" x14ac:dyDescent="0.35">
      <c r="A1" s="16" t="s">
        <v>31</v>
      </c>
      <c r="B1" s="17"/>
      <c r="C1" s="17"/>
      <c r="D1" s="17"/>
      <c r="E1" s="17"/>
      <c r="F1" s="17"/>
      <c r="G1" s="17"/>
    </row>
    <row r="2" spans="1:9" x14ac:dyDescent="0.25">
      <c r="A2" s="4"/>
    </row>
    <row r="3" spans="1:9" s="4" customFormat="1" x14ac:dyDescent="0.25">
      <c r="A3" t="s">
        <v>32</v>
      </c>
      <c r="B3"/>
      <c r="C3"/>
      <c r="D3"/>
      <c r="E3"/>
      <c r="F3"/>
      <c r="G3" s="5"/>
      <c r="H3" s="5"/>
      <c r="I3" s="5"/>
    </row>
    <row r="4" spans="1:9" s="4" customFormat="1" x14ac:dyDescent="0.25">
      <c r="A4"/>
      <c r="B4"/>
      <c r="C4"/>
      <c r="D4"/>
      <c r="E4"/>
      <c r="F4"/>
    </row>
    <row r="5" spans="1:9" s="4" customFormat="1" ht="13" x14ac:dyDescent="0.3">
      <c r="A5" s="8" t="s">
        <v>33</v>
      </c>
      <c r="B5"/>
      <c r="C5"/>
      <c r="D5"/>
      <c r="E5"/>
      <c r="F5"/>
    </row>
    <row r="6" spans="1:9" s="4" customFormat="1" x14ac:dyDescent="0.25">
      <c r="A6"/>
      <c r="B6"/>
      <c r="C6"/>
      <c r="D6"/>
      <c r="E6"/>
      <c r="F6"/>
    </row>
    <row r="7" spans="1:9" s="4" customFormat="1" ht="13" x14ac:dyDescent="0.3">
      <c r="A7" t="s">
        <v>34</v>
      </c>
      <c r="B7"/>
      <c r="C7" s="7" t="s">
        <v>35</v>
      </c>
      <c r="D7"/>
      <c r="E7"/>
      <c r="F7"/>
    </row>
    <row r="8" spans="1:9" s="4" customFormat="1" x14ac:dyDescent="0.25">
      <c r="A8"/>
      <c r="B8"/>
      <c r="C8"/>
      <c r="D8"/>
      <c r="E8"/>
      <c r="F8"/>
    </row>
    <row r="9" spans="1:9" s="4" customFormat="1" x14ac:dyDescent="0.25">
      <c r="A9" t="s">
        <v>36</v>
      </c>
      <c r="B9"/>
      <c r="C9" t="s">
        <v>37</v>
      </c>
      <c r="D9" t="s">
        <v>38</v>
      </c>
      <c r="E9"/>
      <c r="F9"/>
    </row>
    <row r="10" spans="1:9" s="4" customFormat="1" x14ac:dyDescent="0.25">
      <c r="A10"/>
      <c r="B10"/>
      <c r="C10"/>
      <c r="D10"/>
      <c r="E10"/>
      <c r="F10"/>
    </row>
    <row r="11" spans="1:9" s="4" customFormat="1" x14ac:dyDescent="0.25">
      <c r="A11" t="s">
        <v>39</v>
      </c>
      <c r="B11"/>
      <c r="C11" t="s">
        <v>40</v>
      </c>
      <c r="D11"/>
      <c r="E11"/>
      <c r="F11"/>
    </row>
    <row r="13" spans="1:9" x14ac:dyDescent="0.25">
      <c r="A13" t="s">
        <v>41</v>
      </c>
      <c r="C13" t="s">
        <v>42</v>
      </c>
    </row>
    <row r="15" spans="1:9" x14ac:dyDescent="0.25">
      <c r="A15" t="s">
        <v>43</v>
      </c>
      <c r="C15" t="s">
        <v>44</v>
      </c>
    </row>
    <row r="16" spans="1:9" ht="13" x14ac:dyDescent="0.3">
      <c r="C16" t="s">
        <v>45</v>
      </c>
      <c r="F16" s="7" t="s">
        <v>46</v>
      </c>
    </row>
    <row r="17" spans="1:7" x14ac:dyDescent="0.25">
      <c r="C17" t="s">
        <v>47</v>
      </c>
      <c r="F17" s="9" t="e">
        <f ca="1">[1]!waterprop.BOILP(1)-273.15</f>
        <v>#NAME?</v>
      </c>
      <c r="G17" t="s">
        <v>48</v>
      </c>
    </row>
    <row r="18" spans="1:7" x14ac:dyDescent="0.25">
      <c r="F18" s="6"/>
    </row>
    <row r="19" spans="1:7" ht="13" x14ac:dyDescent="0.3">
      <c r="A19" s="8" t="s">
        <v>49</v>
      </c>
    </row>
    <row r="21" spans="1:7" ht="13" x14ac:dyDescent="0.3">
      <c r="A21" t="s">
        <v>34</v>
      </c>
      <c r="C21" s="3" t="s">
        <v>50</v>
      </c>
    </row>
    <row r="23" spans="1:7" x14ac:dyDescent="0.25">
      <c r="A23" t="s">
        <v>36</v>
      </c>
      <c r="C23" t="s">
        <v>51</v>
      </c>
      <c r="D23" t="s">
        <v>52</v>
      </c>
    </row>
    <row r="25" spans="1:7" x14ac:dyDescent="0.25">
      <c r="A25" t="s">
        <v>39</v>
      </c>
      <c r="C25" t="s">
        <v>53</v>
      </c>
    </row>
    <row r="27" spans="1:7" x14ac:dyDescent="0.25">
      <c r="A27" t="s">
        <v>41</v>
      </c>
      <c r="C27" t="s">
        <v>54</v>
      </c>
    </row>
    <row r="29" spans="1:7" x14ac:dyDescent="0.25">
      <c r="A29" t="s">
        <v>43</v>
      </c>
      <c r="C29" t="s">
        <v>55</v>
      </c>
    </row>
    <row r="30" spans="1:7" ht="13" x14ac:dyDescent="0.3">
      <c r="C30" t="s">
        <v>45</v>
      </c>
      <c r="F30" s="7" t="s">
        <v>56</v>
      </c>
    </row>
    <row r="31" spans="1:7" x14ac:dyDescent="0.25">
      <c r="C31" t="s">
        <v>47</v>
      </c>
      <c r="F31" s="10" t="e">
        <f ca="1">[1]!waterprop.VAPP(373.15)</f>
        <v>#NAME?</v>
      </c>
      <c r="G31" t="s">
        <v>57</v>
      </c>
    </row>
    <row r="33" spans="1:7" ht="13" x14ac:dyDescent="0.3">
      <c r="A33" s="8" t="s">
        <v>58</v>
      </c>
    </row>
    <row r="35" spans="1:7" ht="13" x14ac:dyDescent="0.3">
      <c r="A35" t="s">
        <v>34</v>
      </c>
      <c r="C35" s="3" t="s">
        <v>59</v>
      </c>
    </row>
    <row r="37" spans="1:7" x14ac:dyDescent="0.25">
      <c r="A37" t="s">
        <v>36</v>
      </c>
      <c r="C37" t="s">
        <v>60</v>
      </c>
      <c r="D37" t="s">
        <v>52</v>
      </c>
    </row>
    <row r="38" spans="1:7" x14ac:dyDescent="0.25">
      <c r="C38" t="s">
        <v>37</v>
      </c>
      <c r="D38" t="s">
        <v>38</v>
      </c>
    </row>
    <row r="40" spans="1:7" ht="14.5" x14ac:dyDescent="0.25">
      <c r="A40" t="s">
        <v>39</v>
      </c>
      <c r="C40" t="s">
        <v>61</v>
      </c>
    </row>
    <row r="42" spans="1:7" x14ac:dyDescent="0.25">
      <c r="A42" t="s">
        <v>41</v>
      </c>
      <c r="C42" t="s">
        <v>62</v>
      </c>
    </row>
    <row r="43" spans="1:7" x14ac:dyDescent="0.25">
      <c r="C43" t="s">
        <v>63</v>
      </c>
    </row>
    <row r="45" spans="1:7" x14ac:dyDescent="0.25">
      <c r="A45" t="s">
        <v>43</v>
      </c>
      <c r="C45" t="s">
        <v>64</v>
      </c>
    </row>
    <row r="46" spans="1:7" ht="13" x14ac:dyDescent="0.3">
      <c r="C46" t="s">
        <v>45</v>
      </c>
      <c r="F46" s="7" t="s">
        <v>65</v>
      </c>
    </row>
    <row r="47" spans="1:7" ht="14.5" x14ac:dyDescent="0.25">
      <c r="C47" t="s">
        <v>47</v>
      </c>
      <c r="F47" s="11" t="e">
        <f ca="1">1/[1]!waterprop.VSUB1(293.15,1)</f>
        <v>#NAME?</v>
      </c>
      <c r="G47" t="s">
        <v>66</v>
      </c>
    </row>
    <row r="49" spans="1:7" ht="13" x14ac:dyDescent="0.3">
      <c r="A49" s="8" t="s">
        <v>67</v>
      </c>
    </row>
    <row r="51" spans="1:7" ht="13" x14ac:dyDescent="0.3">
      <c r="A51" t="s">
        <v>34</v>
      </c>
      <c r="C51" s="3" t="s">
        <v>68</v>
      </c>
    </row>
    <row r="53" spans="1:7" x14ac:dyDescent="0.25">
      <c r="A53" t="s">
        <v>36</v>
      </c>
      <c r="C53" t="s">
        <v>60</v>
      </c>
      <c r="D53" t="s">
        <v>52</v>
      </c>
    </row>
    <row r="54" spans="1:7" x14ac:dyDescent="0.25">
      <c r="C54" t="s">
        <v>37</v>
      </c>
      <c r="D54" t="s">
        <v>38</v>
      </c>
    </row>
    <row r="56" spans="1:7" ht="14.5" x14ac:dyDescent="0.25">
      <c r="A56" t="s">
        <v>39</v>
      </c>
      <c r="C56" t="s">
        <v>61</v>
      </c>
    </row>
    <row r="58" spans="1:7" x14ac:dyDescent="0.25">
      <c r="A58" t="s">
        <v>41</v>
      </c>
      <c r="C58" t="s">
        <v>69</v>
      </c>
    </row>
    <row r="59" spans="1:7" x14ac:dyDescent="0.25">
      <c r="C59" t="s">
        <v>70</v>
      </c>
    </row>
    <row r="61" spans="1:7" x14ac:dyDescent="0.25">
      <c r="A61" t="s">
        <v>43</v>
      </c>
      <c r="C61" t="s">
        <v>71</v>
      </c>
    </row>
    <row r="62" spans="1:7" x14ac:dyDescent="0.25">
      <c r="C62" t="s">
        <v>72</v>
      </c>
    </row>
    <row r="63" spans="1:7" ht="13" x14ac:dyDescent="0.3">
      <c r="C63" t="s">
        <v>45</v>
      </c>
      <c r="F63" s="7" t="s">
        <v>73</v>
      </c>
    </row>
    <row r="64" spans="1:7" ht="14.5" x14ac:dyDescent="0.25">
      <c r="C64" t="s">
        <v>47</v>
      </c>
      <c r="F64" s="12" t="e">
        <f ca="1">[1]!waterprop.VSUB2([1]!waterprop.BOILP(5),5)</f>
        <v>#NAME?</v>
      </c>
      <c r="G64" t="s">
        <v>74</v>
      </c>
    </row>
    <row r="66" spans="1:7" ht="13" x14ac:dyDescent="0.3">
      <c r="A66" s="8" t="s">
        <v>75</v>
      </c>
    </row>
    <row r="68" spans="1:7" ht="13" x14ac:dyDescent="0.3">
      <c r="A68" t="s">
        <v>34</v>
      </c>
      <c r="C68" s="3" t="s">
        <v>76</v>
      </c>
    </row>
    <row r="70" spans="1:7" x14ac:dyDescent="0.25">
      <c r="A70" t="s">
        <v>36</v>
      </c>
      <c r="C70" t="s">
        <v>60</v>
      </c>
      <c r="D70" t="s">
        <v>52</v>
      </c>
    </row>
    <row r="71" spans="1:7" x14ac:dyDescent="0.25">
      <c r="C71" t="s">
        <v>37</v>
      </c>
      <c r="D71" t="s">
        <v>38</v>
      </c>
    </row>
    <row r="73" spans="1:7" x14ac:dyDescent="0.25">
      <c r="A73" t="s">
        <v>39</v>
      </c>
      <c r="C73" t="s">
        <v>77</v>
      </c>
    </row>
    <row r="75" spans="1:7" x14ac:dyDescent="0.25">
      <c r="A75" t="s">
        <v>41</v>
      </c>
      <c r="C75" t="s">
        <v>62</v>
      </c>
    </row>
    <row r="76" spans="1:7" x14ac:dyDescent="0.25">
      <c r="C76" t="s">
        <v>63</v>
      </c>
    </row>
    <row r="78" spans="1:7" x14ac:dyDescent="0.25">
      <c r="A78" t="s">
        <v>43</v>
      </c>
      <c r="C78" t="s">
        <v>78</v>
      </c>
    </row>
    <row r="79" spans="1:7" ht="13" x14ac:dyDescent="0.3">
      <c r="C79" t="s">
        <v>45</v>
      </c>
      <c r="F79" s="3" t="s">
        <v>79</v>
      </c>
    </row>
    <row r="80" spans="1:7" x14ac:dyDescent="0.25">
      <c r="C80" t="s">
        <v>47</v>
      </c>
      <c r="F80" s="11" t="e">
        <f ca="1">[1]!waterprop.HSUB1(293.15,1)</f>
        <v>#NAME?</v>
      </c>
      <c r="G80" t="s">
        <v>80</v>
      </c>
    </row>
    <row r="82" spans="1:6" ht="13" x14ac:dyDescent="0.3">
      <c r="A82" s="8" t="s">
        <v>81</v>
      </c>
    </row>
    <row r="84" spans="1:6" ht="13" x14ac:dyDescent="0.3">
      <c r="A84" t="s">
        <v>34</v>
      </c>
      <c r="C84" s="3" t="s">
        <v>82</v>
      </c>
    </row>
    <row r="86" spans="1:6" x14ac:dyDescent="0.25">
      <c r="A86" t="s">
        <v>36</v>
      </c>
      <c r="C86" t="s">
        <v>60</v>
      </c>
      <c r="D86" t="s">
        <v>52</v>
      </c>
    </row>
    <row r="87" spans="1:6" x14ac:dyDescent="0.25">
      <c r="C87" t="s">
        <v>37</v>
      </c>
      <c r="D87" t="s">
        <v>38</v>
      </c>
    </row>
    <row r="89" spans="1:6" x14ac:dyDescent="0.25">
      <c r="A89" t="s">
        <v>39</v>
      </c>
      <c r="C89" t="s">
        <v>77</v>
      </c>
    </row>
    <row r="91" spans="1:6" x14ac:dyDescent="0.25">
      <c r="A91" t="s">
        <v>41</v>
      </c>
      <c r="C91" t="s">
        <v>69</v>
      </c>
    </row>
    <row r="92" spans="1:6" x14ac:dyDescent="0.25">
      <c r="C92" t="s">
        <v>70</v>
      </c>
    </row>
    <row r="94" spans="1:6" x14ac:dyDescent="0.25">
      <c r="A94" t="s">
        <v>43</v>
      </c>
      <c r="C94" t="s">
        <v>83</v>
      </c>
    </row>
    <row r="95" spans="1:6" x14ac:dyDescent="0.25">
      <c r="C95" t="s">
        <v>72</v>
      </c>
    </row>
    <row r="96" spans="1:6" ht="13" x14ac:dyDescent="0.3">
      <c r="C96" t="s">
        <v>45</v>
      </c>
      <c r="F96" s="7" t="s">
        <v>84</v>
      </c>
    </row>
    <row r="97" spans="1:7" x14ac:dyDescent="0.25">
      <c r="C97" t="s">
        <v>47</v>
      </c>
      <c r="F97" s="11" t="e">
        <f ca="1">[1]!waterprop.HSUB2([1]!waterprop.BOILP(5),5)</f>
        <v>#NAME?</v>
      </c>
      <c r="G97" t="s">
        <v>80</v>
      </c>
    </row>
    <row r="99" spans="1:7" ht="13" x14ac:dyDescent="0.3">
      <c r="A99" s="8" t="s">
        <v>85</v>
      </c>
    </row>
    <row r="101" spans="1:7" ht="13" x14ac:dyDescent="0.3">
      <c r="A101" t="s">
        <v>34</v>
      </c>
      <c r="C101" s="3" t="s">
        <v>86</v>
      </c>
    </row>
    <row r="103" spans="1:7" x14ac:dyDescent="0.25">
      <c r="A103" t="s">
        <v>36</v>
      </c>
      <c r="C103" t="s">
        <v>60</v>
      </c>
      <c r="D103" t="s">
        <v>52</v>
      </c>
    </row>
    <row r="104" spans="1:7" x14ac:dyDescent="0.25">
      <c r="C104" t="s">
        <v>37</v>
      </c>
      <c r="D104" t="s">
        <v>38</v>
      </c>
    </row>
    <row r="105" spans="1:7" x14ac:dyDescent="0.25">
      <c r="C105" t="s">
        <v>87</v>
      </c>
      <c r="D105" t="s">
        <v>88</v>
      </c>
    </row>
    <row r="107" spans="1:7" x14ac:dyDescent="0.25">
      <c r="A107" t="s">
        <v>39</v>
      </c>
      <c r="C107" t="s">
        <v>89</v>
      </c>
    </row>
    <row r="109" spans="1:7" x14ac:dyDescent="0.25">
      <c r="A109" t="s">
        <v>41</v>
      </c>
      <c r="C109" t="s">
        <v>69</v>
      </c>
    </row>
    <row r="110" spans="1:7" x14ac:dyDescent="0.25">
      <c r="C110" t="s">
        <v>90</v>
      </c>
    </row>
    <row r="112" spans="1:7" x14ac:dyDescent="0.25">
      <c r="A112" t="s">
        <v>43</v>
      </c>
      <c r="C112" t="s">
        <v>91</v>
      </c>
    </row>
    <row r="113" spans="1:7" ht="13" x14ac:dyDescent="0.3">
      <c r="C113" t="s">
        <v>45</v>
      </c>
      <c r="F113" s="7" t="s">
        <v>92</v>
      </c>
    </row>
    <row r="114" spans="1:7" x14ac:dyDescent="0.25">
      <c r="C114" t="s">
        <v>47</v>
      </c>
      <c r="F114" s="10" t="e">
        <f ca="1">[1]!waterprop.HCAP(293.15,1,1)</f>
        <v>#NAME?</v>
      </c>
      <c r="G114" t="s">
        <v>93</v>
      </c>
    </row>
    <row r="116" spans="1:7" ht="13" x14ac:dyDescent="0.3">
      <c r="A116" s="8" t="s">
        <v>94</v>
      </c>
    </row>
    <row r="118" spans="1:7" ht="13" x14ac:dyDescent="0.3">
      <c r="A118" t="s">
        <v>34</v>
      </c>
      <c r="C118" s="3" t="s">
        <v>95</v>
      </c>
    </row>
    <row r="120" spans="1:7" x14ac:dyDescent="0.25">
      <c r="A120" t="s">
        <v>36</v>
      </c>
      <c r="C120" t="s">
        <v>60</v>
      </c>
      <c r="D120" t="s">
        <v>52</v>
      </c>
    </row>
    <row r="121" spans="1:7" x14ac:dyDescent="0.25">
      <c r="C121" t="s">
        <v>96</v>
      </c>
      <c r="D121" t="s">
        <v>97</v>
      </c>
    </row>
    <row r="123" spans="1:7" ht="14.5" x14ac:dyDescent="0.25">
      <c r="A123" t="s">
        <v>39</v>
      </c>
      <c r="C123" t="s">
        <v>98</v>
      </c>
    </row>
    <row r="125" spans="1:7" x14ac:dyDescent="0.25">
      <c r="A125" t="s">
        <v>41</v>
      </c>
      <c r="C125" t="s">
        <v>99</v>
      </c>
    </row>
    <row r="126" spans="1:7" x14ac:dyDescent="0.25">
      <c r="C126" t="s">
        <v>100</v>
      </c>
    </row>
    <row r="128" spans="1:7" x14ac:dyDescent="0.25">
      <c r="A128" t="s">
        <v>43</v>
      </c>
      <c r="C128" t="s">
        <v>101</v>
      </c>
    </row>
    <row r="129" spans="1:7" ht="13" x14ac:dyDescent="0.3">
      <c r="C129" t="s">
        <v>45</v>
      </c>
      <c r="F129" s="3" t="s">
        <v>102</v>
      </c>
    </row>
    <row r="130" spans="1:7" x14ac:dyDescent="0.25">
      <c r="C130" t="s">
        <v>47</v>
      </c>
      <c r="F130" s="13" t="e">
        <f ca="1">[1]!waterprop.ETAF(293.15,[1]!waterprop.VSUB1(293.15,1))*0.000001</f>
        <v>#NAME?</v>
      </c>
      <c r="G130" t="s">
        <v>103</v>
      </c>
    </row>
    <row r="132" spans="1:7" ht="13" x14ac:dyDescent="0.3">
      <c r="A132" s="8" t="s">
        <v>104</v>
      </c>
    </row>
    <row r="134" spans="1:7" ht="13" x14ac:dyDescent="0.3">
      <c r="A134" t="s">
        <v>34</v>
      </c>
      <c r="C134" s="3" t="s">
        <v>105</v>
      </c>
    </row>
    <row r="136" spans="1:7" x14ac:dyDescent="0.25">
      <c r="A136" t="s">
        <v>36</v>
      </c>
      <c r="C136" t="s">
        <v>60</v>
      </c>
      <c r="D136" t="s">
        <v>52</v>
      </c>
    </row>
    <row r="137" spans="1:7" ht="14.5" x14ac:dyDescent="0.25">
      <c r="C137" t="s">
        <v>96</v>
      </c>
      <c r="D137" t="s">
        <v>61</v>
      </c>
    </row>
    <row r="139" spans="1:7" x14ac:dyDescent="0.25">
      <c r="A139" t="s">
        <v>39</v>
      </c>
      <c r="C139" t="s">
        <v>106</v>
      </c>
    </row>
    <row r="141" spans="1:7" x14ac:dyDescent="0.25">
      <c r="A141" t="s">
        <v>41</v>
      </c>
      <c r="C141" t="s">
        <v>107</v>
      </c>
    </row>
    <row r="142" spans="1:7" x14ac:dyDescent="0.25">
      <c r="C142" t="s">
        <v>108</v>
      </c>
    </row>
    <row r="144" spans="1:7" x14ac:dyDescent="0.25">
      <c r="A144" t="s">
        <v>43</v>
      </c>
      <c r="C144" t="s">
        <v>109</v>
      </c>
    </row>
    <row r="145" spans="3:7" ht="13" x14ac:dyDescent="0.3">
      <c r="C145" t="s">
        <v>45</v>
      </c>
      <c r="F145" s="3" t="s">
        <v>110</v>
      </c>
    </row>
    <row r="146" spans="3:7" x14ac:dyDescent="0.25">
      <c r="C146" t="s">
        <v>47</v>
      </c>
      <c r="F146" s="12" t="e">
        <f ca="1">[1]!waterprop.TCON([1]!BOILP(5),[1]!waterprop.VSUB2([1]!BOILP(5),5))</f>
        <v>#NAME?</v>
      </c>
      <c r="G146" t="s">
        <v>111</v>
      </c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74B5-1F9A-47E9-9ED8-0E227EF4DB27}">
  <dimension ref="A1:E20"/>
  <sheetViews>
    <sheetView tabSelected="1" topLeftCell="A4" zoomScale="220" zoomScaleNormal="220" workbookViewId="0">
      <selection activeCell="E12" sqref="E12"/>
    </sheetView>
  </sheetViews>
  <sheetFormatPr defaultRowHeight="12.5" x14ac:dyDescent="0.25"/>
  <cols>
    <col min="1" max="1" width="17.26953125" bestFit="1" customWidth="1"/>
    <col min="2" max="3" width="12.08984375" bestFit="1" customWidth="1"/>
  </cols>
  <sheetData>
    <row r="1" spans="1:5" x14ac:dyDescent="0.25">
      <c r="A1" s="24" t="s">
        <v>112</v>
      </c>
      <c r="B1">
        <v>2.7</v>
      </c>
      <c r="C1" s="14" t="s">
        <v>113</v>
      </c>
    </row>
    <row r="2" spans="1:5" x14ac:dyDescent="0.25">
      <c r="A2" s="24" t="s">
        <v>114</v>
      </c>
      <c r="B2">
        <v>1000</v>
      </c>
      <c r="C2" s="14" t="s">
        <v>115</v>
      </c>
    </row>
    <row r="3" spans="1:5" x14ac:dyDescent="0.25">
      <c r="A3" s="24" t="s">
        <v>116</v>
      </c>
      <c r="B3">
        <v>0.1</v>
      </c>
    </row>
    <row r="4" spans="1:5" x14ac:dyDescent="0.25">
      <c r="A4" s="24" t="s">
        <v>117</v>
      </c>
      <c r="B4">
        <v>1</v>
      </c>
      <c r="C4" s="14" t="s">
        <v>118</v>
      </c>
    </row>
    <row r="5" spans="1:5" x14ac:dyDescent="0.25">
      <c r="A5" s="24" t="s">
        <v>119</v>
      </c>
      <c r="B5">
        <v>2600</v>
      </c>
      <c r="C5" s="14" t="s">
        <v>120</v>
      </c>
    </row>
    <row r="6" spans="1:5" x14ac:dyDescent="0.25">
      <c r="A6" s="25"/>
      <c r="B6" s="14" t="s">
        <v>121</v>
      </c>
      <c r="C6" s="14" t="s">
        <v>122</v>
      </c>
    </row>
    <row r="7" spans="1:5" x14ac:dyDescent="0.25">
      <c r="A7" s="25"/>
      <c r="B7" s="14">
        <v>240</v>
      </c>
      <c r="C7">
        <v>180</v>
      </c>
    </row>
    <row r="8" spans="1:5" x14ac:dyDescent="0.25">
      <c r="A8" s="24" t="s">
        <v>123</v>
      </c>
      <c r="B8" s="14">
        <v>1</v>
      </c>
      <c r="C8">
        <v>1</v>
      </c>
    </row>
    <row r="9" spans="1:5" x14ac:dyDescent="0.25">
      <c r="A9" s="24" t="s">
        <v>124</v>
      </c>
      <c r="B9">
        <f>1-B8</f>
        <v>0</v>
      </c>
      <c r="C9">
        <f>1-C8</f>
        <v>0</v>
      </c>
    </row>
    <row r="10" spans="1:5" x14ac:dyDescent="0.25">
      <c r="A10" s="24" t="s">
        <v>125</v>
      </c>
      <c r="B10">
        <f>B1*1000000*B2*(1-B3)*B5*B4*B7</f>
        <v>1516320000000000</v>
      </c>
      <c r="C10">
        <f>B1*1000000*B2*(1-B3)*B5*B4*C7</f>
        <v>1137240000000000</v>
      </c>
      <c r="E10" s="23" t="s">
        <v>127</v>
      </c>
    </row>
    <row r="11" spans="1:5" x14ac:dyDescent="0.25">
      <c r="A11" s="24" t="s">
        <v>126</v>
      </c>
      <c r="B11">
        <f>B1*1000000*B2*B3*B8*1/VSUB1(B7+273.15,vapp(B7+273.15))*hsub1(B7+273.15,vapp(B7+273.15))</f>
        <v>227935665645705.28</v>
      </c>
      <c r="C11">
        <f>B1*1000000*B2*B3*C8*1/VSUB1(C7+273.15,vapp(C7+273.15))*hsub1(C7+273.15,vapp(C7+273.15))</f>
        <v>182738112557257.03</v>
      </c>
      <c r="E11" s="23" t="s">
        <v>128</v>
      </c>
    </row>
    <row r="12" spans="1:5" x14ac:dyDescent="0.25">
      <c r="A12" s="24" t="s">
        <v>129</v>
      </c>
      <c r="B12">
        <f>B1*1000000*B2*B3*B9*1/VSUB2(B7+273.15,vapp(B7+273.15))*hsub2(B7+273.15,vapp(B7+273.15))</f>
        <v>0</v>
      </c>
      <c r="C12">
        <f>B1*1000000*B2*B3*C9*1/VSUB2(C7+273.15,vapp(C7+273.15))*hsub2(C7+273.15,vapp(C7+273.15))</f>
        <v>0</v>
      </c>
      <c r="E12" s="23" t="s">
        <v>131</v>
      </c>
    </row>
    <row r="13" spans="1:5" x14ac:dyDescent="0.25">
      <c r="A13" s="24" t="s">
        <v>130</v>
      </c>
      <c r="B13">
        <f>SUM(B10:B12)</f>
        <v>1744255665645705.3</v>
      </c>
      <c r="C13">
        <f>SUM(C10:C12)</f>
        <v>1319978112557257</v>
      </c>
      <c r="E13" s="23" t="s">
        <v>132</v>
      </c>
    </row>
    <row r="14" spans="1:5" x14ac:dyDescent="0.25">
      <c r="A14" s="24" t="s">
        <v>133</v>
      </c>
      <c r="B14">
        <f>B13-C13</f>
        <v>424277553088448.25</v>
      </c>
      <c r="E14" s="23" t="s">
        <v>134</v>
      </c>
    </row>
    <row r="15" spans="1:5" x14ac:dyDescent="0.25">
      <c r="A15" s="24" t="s">
        <v>135</v>
      </c>
      <c r="B15">
        <v>0.25</v>
      </c>
    </row>
    <row r="16" spans="1:5" x14ac:dyDescent="0.25">
      <c r="A16" s="24" t="s">
        <v>136</v>
      </c>
      <c r="B16">
        <f>B14*B15</f>
        <v>106069388272112.06</v>
      </c>
      <c r="E16" s="23" t="s">
        <v>137</v>
      </c>
    </row>
    <row r="17" spans="1:2" x14ac:dyDescent="0.25">
      <c r="A17" s="24" t="s">
        <v>139</v>
      </c>
      <c r="B17">
        <v>0.1</v>
      </c>
    </row>
    <row r="18" spans="1:2" x14ac:dyDescent="0.25">
      <c r="A18" s="24" t="s">
        <v>140</v>
      </c>
      <c r="B18">
        <v>30</v>
      </c>
    </row>
    <row r="19" spans="1:2" x14ac:dyDescent="0.25">
      <c r="A19" s="24" t="s">
        <v>141</v>
      </c>
      <c r="B19">
        <v>0.8</v>
      </c>
    </row>
    <row r="20" spans="1:2" x14ac:dyDescent="0.25">
      <c r="A20" s="24" t="s">
        <v>138</v>
      </c>
      <c r="B20" s="26">
        <f>B16*B17/(B18*365*24*3600*1000*B19)</f>
        <v>14.014325991474303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</vt:lpstr>
      <vt:lpstr>Usage</vt:lpstr>
      <vt:lpstr>Reference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Wasser</dc:title>
  <dc:subject>Stoffwerte fuer Wasser</dc:subject>
  <dc:creator>Bernhard Spang</dc:creator>
  <cp:lastModifiedBy>Ali Ashat</cp:lastModifiedBy>
  <dcterms:created xsi:type="dcterms:W3CDTF">2000-03-07T14:08:14Z</dcterms:created>
  <dcterms:modified xsi:type="dcterms:W3CDTF">2024-12-06T08:10:25Z</dcterms:modified>
</cp:coreProperties>
</file>