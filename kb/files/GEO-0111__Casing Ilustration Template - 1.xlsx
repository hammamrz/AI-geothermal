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01-Work Files\03-Seminar\0-JDS Drilling School\10-Casing Design\Contoh Soal\"/>
    </mc:Choice>
  </mc:AlternateContent>
  <xr:revisionPtr revIDLastSave="0" documentId="13_ncr:1_{247860D5-7677-46E6-B3EC-E7DCB48944A5}" xr6:coauthVersionLast="47" xr6:coauthVersionMax="47" xr10:uidLastSave="{00000000-0000-0000-0000-000000000000}"/>
  <bookViews>
    <workbookView xWindow="-110" yWindow="-110" windowWidth="19420" windowHeight="10300" firstSheet="6" activeTab="10" xr2:uid="{00000000-000D-0000-FFFF-FFFF00000000}"/>
  </bookViews>
  <sheets>
    <sheet name="Conductor" sheetId="1" r:id="rId1"/>
    <sheet name="Conductor-1" sheetId="8" r:id="rId2"/>
    <sheet name="P n A" sheetId="2" r:id="rId3"/>
    <sheet name="P n A-1" sheetId="3" r:id="rId4"/>
    <sheet name="P n A-2" sheetId="4" r:id="rId5"/>
    <sheet name="P n A-3" sheetId="5" r:id="rId6"/>
    <sheet name="Wrong Csg Tally" sheetId="9" r:id="rId7"/>
    <sheet name="Casing Lenght" sheetId="7" r:id="rId8"/>
    <sheet name="Casing P Test" sheetId="6" r:id="rId9"/>
    <sheet name="Burst Load-1" sheetId="13" r:id="rId10"/>
    <sheet name="Collapse Load" sheetId="14" r:id="rId11"/>
    <sheet name="Axial Load" sheetId="15" r:id="rId12"/>
    <sheet name="Casing Depth" sheetId="16" r:id="rId13"/>
    <sheet name="KTOL" sheetId="17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O37" i="13" l="1"/>
  <c r="S21" i="13"/>
  <c r="S19" i="13"/>
  <c r="S17" i="13"/>
  <c r="BM29" i="13"/>
  <c r="BH18" i="13"/>
  <c r="BH19" i="13" s="1"/>
  <c r="BL17" i="13"/>
  <c r="BP17" i="13" s="1"/>
  <c r="BI17" i="13"/>
  <c r="BK17" i="13" s="1"/>
  <c r="BQ17" i="13" s="1"/>
  <c r="BS17" i="13" s="1"/>
  <c r="AP17" i="13"/>
  <c r="AS17" i="13" s="1"/>
  <c r="AM17" i="13"/>
  <c r="AO17" i="13" s="1"/>
  <c r="AL18" i="13"/>
  <c r="AP18" i="13" s="1"/>
  <c r="AS18" i="13" s="1"/>
  <c r="P17" i="13"/>
  <c r="O17" i="13"/>
  <c r="S18" i="13"/>
  <c r="T18" i="13" s="1"/>
  <c r="L18" i="13"/>
  <c r="O18" i="13" s="1"/>
  <c r="BI18" i="13" l="1"/>
  <c r="BK18" i="13" s="1"/>
  <c r="BI19" i="13"/>
  <c r="BK19" i="13" s="1"/>
  <c r="BH20" i="13"/>
  <c r="BL19" i="13"/>
  <c r="BP19" i="13" s="1"/>
  <c r="BL18" i="13"/>
  <c r="BP18" i="13" s="1"/>
  <c r="AT17" i="13"/>
  <c r="AV17" i="13" s="1"/>
  <c r="AM18" i="13"/>
  <c r="AO18" i="13" s="1"/>
  <c r="AT18" i="13" s="1"/>
  <c r="AV18" i="13" s="1"/>
  <c r="AL19" i="13"/>
  <c r="AP19" i="13" s="1"/>
  <c r="AS19" i="13" s="1"/>
  <c r="Q17" i="13"/>
  <c r="P18" i="13"/>
  <c r="Q18" i="13" s="1"/>
  <c r="S20" i="13"/>
  <c r="S22" i="13" s="1"/>
  <c r="S23" i="13" s="1"/>
  <c r="L26" i="13" s="1"/>
  <c r="L19" i="13"/>
  <c r="P19" i="13" s="1"/>
  <c r="BQ19" i="13" l="1"/>
  <c r="BS19" i="13" s="1"/>
  <c r="BQ18" i="13"/>
  <c r="BS18" i="13" s="1"/>
  <c r="BH21" i="13"/>
  <c r="BL20" i="13"/>
  <c r="BP20" i="13" s="1"/>
  <c r="BI20" i="13"/>
  <c r="BK20" i="13" s="1"/>
  <c r="BQ20" i="13" s="1"/>
  <c r="BS20" i="13" s="1"/>
  <c r="AL20" i="13"/>
  <c r="AM19" i="13"/>
  <c r="AO19" i="13" s="1"/>
  <c r="AT19" i="13" s="1"/>
  <c r="AV19" i="13" s="1"/>
  <c r="O26" i="13"/>
  <c r="P26" i="13"/>
  <c r="L20" i="13"/>
  <c r="P20" i="13" s="1"/>
  <c r="O19" i="13"/>
  <c r="Q19" i="13" s="1"/>
  <c r="BI21" i="13" l="1"/>
  <c r="BK21" i="13" s="1"/>
  <c r="BH22" i="13"/>
  <c r="BL21" i="13"/>
  <c r="BP21" i="13" s="1"/>
  <c r="AL21" i="13"/>
  <c r="AP21" i="13" s="1"/>
  <c r="AS21" i="13" s="1"/>
  <c r="AP20" i="13"/>
  <c r="AS20" i="13" s="1"/>
  <c r="AM20" i="13"/>
  <c r="Q26" i="13"/>
  <c r="L21" i="13"/>
  <c r="P21" i="13" s="1"/>
  <c r="O20" i="13"/>
  <c r="Q20" i="13" s="1"/>
  <c r="BQ21" i="13" l="1"/>
  <c r="BS21" i="13" s="1"/>
  <c r="BH23" i="13"/>
  <c r="BI22" i="13"/>
  <c r="BK22" i="13" s="1"/>
  <c r="BQ22" i="13" s="1"/>
  <c r="BS22" i="13" s="1"/>
  <c r="BL22" i="13"/>
  <c r="BP22" i="13" s="1"/>
  <c r="AO20" i="13"/>
  <c r="AT20" i="13" s="1"/>
  <c r="AV20" i="13" s="1"/>
  <c r="AM21" i="13"/>
  <c r="AL22" i="13"/>
  <c r="AP22" i="13" s="1"/>
  <c r="AS22" i="13" s="1"/>
  <c r="L22" i="13"/>
  <c r="P22" i="13" s="1"/>
  <c r="O21" i="13"/>
  <c r="Q21" i="13" s="1"/>
  <c r="BL23" i="13" l="1"/>
  <c r="BP23" i="13" s="1"/>
  <c r="BH24" i="13"/>
  <c r="BI23" i="13"/>
  <c r="BK23" i="13" s="1"/>
  <c r="BQ23" i="13" s="1"/>
  <c r="BS23" i="13" s="1"/>
  <c r="AM22" i="13"/>
  <c r="AO22" i="13" s="1"/>
  <c r="AT22" i="13" s="1"/>
  <c r="AV22" i="13" s="1"/>
  <c r="AL23" i="13"/>
  <c r="AP23" i="13" s="1"/>
  <c r="AS23" i="13" s="1"/>
  <c r="AO21" i="13"/>
  <c r="AT21" i="13" s="1"/>
  <c r="AV21" i="13" s="1"/>
  <c r="L23" i="13"/>
  <c r="P23" i="13" s="1"/>
  <c r="O22" i="13"/>
  <c r="Q22" i="13" s="1"/>
  <c r="BH25" i="13" l="1"/>
  <c r="BL24" i="13"/>
  <c r="BP24" i="13" s="1"/>
  <c r="BI24" i="13"/>
  <c r="BK24" i="13" s="1"/>
  <c r="BQ24" i="13" s="1"/>
  <c r="BS24" i="13" s="1"/>
  <c r="AM23" i="13"/>
  <c r="AL24" i="13"/>
  <c r="L24" i="13"/>
  <c r="P24" i="13" s="1"/>
  <c r="O23" i="13"/>
  <c r="Q23" i="13" s="1"/>
  <c r="BL25" i="13" l="1"/>
  <c r="BP25" i="13" s="1"/>
  <c r="BI25" i="13"/>
  <c r="BK25" i="13" s="1"/>
  <c r="BQ25" i="13" s="1"/>
  <c r="BS25" i="13" s="1"/>
  <c r="BH26" i="13"/>
  <c r="AO23" i="13"/>
  <c r="AT23" i="13" s="1"/>
  <c r="AV23" i="13" s="1"/>
  <c r="AM24" i="13"/>
  <c r="AP24" i="13"/>
  <c r="AS24" i="13" s="1"/>
  <c r="AL25" i="13"/>
  <c r="L25" i="13"/>
  <c r="P25" i="13" s="1"/>
  <c r="O24" i="13"/>
  <c r="Q24" i="13" s="1"/>
  <c r="BH27" i="13" l="1"/>
  <c r="BH28" i="13" s="1"/>
  <c r="BM28" i="13" s="1"/>
  <c r="BN28" i="13" s="1"/>
  <c r="BL26" i="13"/>
  <c r="BP26" i="13" s="1"/>
  <c r="BI26" i="13"/>
  <c r="BK26" i="13" s="1"/>
  <c r="BQ26" i="13" s="1"/>
  <c r="BS26" i="13" s="1"/>
  <c r="AM25" i="13"/>
  <c r="AP25" i="13"/>
  <c r="AS25" i="13" s="1"/>
  <c r="AL26" i="13"/>
  <c r="AO24" i="13"/>
  <c r="AT24" i="13" s="1"/>
  <c r="AV24" i="13" s="1"/>
  <c r="L27" i="13"/>
  <c r="O25" i="13"/>
  <c r="Q25" i="13" s="1"/>
  <c r="BL27" i="13" l="1"/>
  <c r="BP27" i="13" s="1"/>
  <c r="BI27" i="13"/>
  <c r="BK27" i="13" s="1"/>
  <c r="BQ27" i="13" s="1"/>
  <c r="BS27" i="13" s="1"/>
  <c r="AM26" i="13"/>
  <c r="AP26" i="13"/>
  <c r="AS26" i="13" s="1"/>
  <c r="AL27" i="13"/>
  <c r="AO25" i="13"/>
  <c r="AT25" i="13" s="1"/>
  <c r="AV25" i="13" s="1"/>
  <c r="L28" i="13"/>
  <c r="M27" i="13"/>
  <c r="P27" i="13"/>
  <c r="BP28" i="13" l="1"/>
  <c r="BI28" i="13"/>
  <c r="BK28" i="13" s="1"/>
  <c r="BQ28" i="13" s="1"/>
  <c r="BS28" i="13" s="1"/>
  <c r="AM27" i="13"/>
  <c r="AP27" i="13"/>
  <c r="AS27" i="13" s="1"/>
  <c r="AL28" i="13"/>
  <c r="AQ28" i="13" s="1"/>
  <c r="AR28" i="13" s="1"/>
  <c r="AO26" i="13"/>
  <c r="AT26" i="13" s="1"/>
  <c r="AV26" i="13" s="1"/>
  <c r="N27" i="13"/>
  <c r="O27" i="13" s="1"/>
  <c r="Q27" i="13" s="1"/>
  <c r="L29" i="13"/>
  <c r="P28" i="13"/>
  <c r="M28" i="13"/>
  <c r="BI29" i="13" l="1"/>
  <c r="BK29" i="13" s="1"/>
  <c r="BH30" i="13"/>
  <c r="BM30" i="13" s="1"/>
  <c r="AS28" i="13"/>
  <c r="AM28" i="13"/>
  <c r="AL29" i="13"/>
  <c r="AQ29" i="13" s="1"/>
  <c r="AR29" i="13" s="1"/>
  <c r="AS29" i="13" s="1"/>
  <c r="AO27" i="13"/>
  <c r="AT27" i="13" s="1"/>
  <c r="AV27" i="13" s="1"/>
  <c r="N28" i="13"/>
  <c r="O28" i="13" s="1"/>
  <c r="Q28" i="13" s="1"/>
  <c r="L30" i="13"/>
  <c r="P29" i="13"/>
  <c r="M29" i="13"/>
  <c r="BH31" i="13" l="1"/>
  <c r="BM31" i="13" s="1"/>
  <c r="BI30" i="13"/>
  <c r="BK30" i="13" s="1"/>
  <c r="AM29" i="13"/>
  <c r="AL30" i="13"/>
  <c r="AQ30" i="13" s="1"/>
  <c r="AR30" i="13" s="1"/>
  <c r="AS30" i="13" s="1"/>
  <c r="AO28" i="13"/>
  <c r="AT28" i="13" s="1"/>
  <c r="AV28" i="13" s="1"/>
  <c r="N29" i="13"/>
  <c r="O29" i="13" s="1"/>
  <c r="Q29" i="13" s="1"/>
  <c r="L31" i="13"/>
  <c r="P30" i="13"/>
  <c r="M30" i="13"/>
  <c r="BH32" i="13" l="1"/>
  <c r="BM32" i="13" s="1"/>
  <c r="BI31" i="13"/>
  <c r="BK31" i="13" s="1"/>
  <c r="AM30" i="13"/>
  <c r="AL31" i="13"/>
  <c r="AQ31" i="13" s="1"/>
  <c r="AR31" i="13" s="1"/>
  <c r="AS31" i="13" s="1"/>
  <c r="AO29" i="13"/>
  <c r="AT29" i="13" s="1"/>
  <c r="AV29" i="13" s="1"/>
  <c r="N30" i="13"/>
  <c r="O30" i="13" s="1"/>
  <c r="Q30" i="13" s="1"/>
  <c r="L32" i="13"/>
  <c r="M31" i="13"/>
  <c r="P31" i="13"/>
  <c r="BI32" i="13" l="1"/>
  <c r="BK32" i="13" s="1"/>
  <c r="BH33" i="13"/>
  <c r="BM33" i="13" s="1"/>
  <c r="AM31" i="13"/>
  <c r="AL32" i="13"/>
  <c r="AQ32" i="13" s="1"/>
  <c r="AR32" i="13" s="1"/>
  <c r="AS32" i="13" s="1"/>
  <c r="AO30" i="13"/>
  <c r="AT30" i="13" s="1"/>
  <c r="AV30" i="13" s="1"/>
  <c r="N31" i="13"/>
  <c r="O31" i="13" s="1"/>
  <c r="Q31" i="13" s="1"/>
  <c r="L33" i="13"/>
  <c r="M32" i="13"/>
  <c r="P32" i="13"/>
  <c r="BH34" i="13" l="1"/>
  <c r="BM34" i="13" s="1"/>
  <c r="BI33" i="13"/>
  <c r="BK33" i="13" s="1"/>
  <c r="AM32" i="13"/>
  <c r="AL33" i="13"/>
  <c r="AQ33" i="13" s="1"/>
  <c r="AR33" i="13" s="1"/>
  <c r="AS33" i="13" s="1"/>
  <c r="AO31" i="13"/>
  <c r="AT31" i="13" s="1"/>
  <c r="AV31" i="13" s="1"/>
  <c r="N32" i="13"/>
  <c r="O32" i="13" s="1"/>
  <c r="Q32" i="13" s="1"/>
  <c r="L34" i="13"/>
  <c r="M33" i="13"/>
  <c r="P33" i="13"/>
  <c r="BI34" i="13" l="1"/>
  <c r="BK34" i="13" s="1"/>
  <c r="BH35" i="13"/>
  <c r="BM35" i="13" s="1"/>
  <c r="AM33" i="13"/>
  <c r="AL34" i="13"/>
  <c r="AQ34" i="13" s="1"/>
  <c r="AR34" i="13" s="1"/>
  <c r="AS34" i="13" s="1"/>
  <c r="AO32" i="13"/>
  <c r="AT32" i="13" s="1"/>
  <c r="AV32" i="13" s="1"/>
  <c r="N33" i="13"/>
  <c r="O33" i="13" s="1"/>
  <c r="Q33" i="13" s="1"/>
  <c r="L35" i="13"/>
  <c r="M34" i="13"/>
  <c r="P34" i="13"/>
  <c r="BH36" i="13" l="1"/>
  <c r="BM36" i="13" s="1"/>
  <c r="BI35" i="13"/>
  <c r="BK35" i="13" s="1"/>
  <c r="AM34" i="13"/>
  <c r="AL35" i="13"/>
  <c r="AQ35" i="13" s="1"/>
  <c r="AR35" i="13" s="1"/>
  <c r="AS35" i="13" s="1"/>
  <c r="AO33" i="13"/>
  <c r="AT33" i="13" s="1"/>
  <c r="AV33" i="13" s="1"/>
  <c r="N34" i="13"/>
  <c r="O34" i="13" s="1"/>
  <c r="Q34" i="13" s="1"/>
  <c r="L36" i="13"/>
  <c r="P35" i="13"/>
  <c r="M35" i="13"/>
  <c r="BH37" i="13" l="1"/>
  <c r="BI36" i="13"/>
  <c r="BK36" i="13" s="1"/>
  <c r="AM35" i="13"/>
  <c r="AL36" i="13"/>
  <c r="AQ36" i="13" s="1"/>
  <c r="AR36" i="13" s="1"/>
  <c r="AS36" i="13" s="1"/>
  <c r="AO34" i="13"/>
  <c r="AT34" i="13" s="1"/>
  <c r="AV34" i="13" s="1"/>
  <c r="N35" i="13"/>
  <c r="O35" i="13" s="1"/>
  <c r="Q35" i="13" s="1"/>
  <c r="L37" i="13"/>
  <c r="P36" i="13"/>
  <c r="M36" i="13"/>
  <c r="BI37" i="13" l="1"/>
  <c r="BK37" i="13" s="1"/>
  <c r="BM37" i="13"/>
  <c r="BN37" i="13" s="1"/>
  <c r="BP37" i="13" s="1"/>
  <c r="AM36" i="13"/>
  <c r="AL37" i="13"/>
  <c r="AO35" i="13"/>
  <c r="AT35" i="13" s="1"/>
  <c r="AV35" i="13" s="1"/>
  <c r="N36" i="13"/>
  <c r="O36" i="13" s="1"/>
  <c r="Q36" i="13" s="1"/>
  <c r="L38" i="13"/>
  <c r="P37" i="13"/>
  <c r="M37" i="13"/>
  <c r="BQ37" i="13" l="1"/>
  <c r="BS37" i="13" s="1"/>
  <c r="AM37" i="13"/>
  <c r="AO37" i="13" s="1"/>
  <c r="AQ37" i="13"/>
  <c r="AR37" i="13" s="1"/>
  <c r="AS37" i="13" s="1"/>
  <c r="AO36" i="13"/>
  <c r="AT36" i="13" s="1"/>
  <c r="AV36" i="13" s="1"/>
  <c r="N37" i="13"/>
  <c r="O37" i="13" s="1"/>
  <c r="Q37" i="13" s="1"/>
  <c r="P38" i="13"/>
  <c r="M38" i="13"/>
  <c r="B6" i="16"/>
  <c r="B7" i="16" s="1"/>
  <c r="B8" i="16" s="1"/>
  <c r="B9" i="16" s="1"/>
  <c r="B10" i="16" s="1"/>
  <c r="B11" i="16" s="1"/>
  <c r="B12" i="16" s="1"/>
  <c r="B13" i="16" s="1"/>
  <c r="B14" i="16" s="1"/>
  <c r="B15" i="16" s="1"/>
  <c r="B16" i="16" s="1"/>
  <c r="B17" i="16" s="1"/>
  <c r="B18" i="16" s="1"/>
  <c r="B19" i="16" s="1"/>
  <c r="B20" i="16" s="1"/>
  <c r="B21" i="16" s="1"/>
  <c r="B22" i="16" s="1"/>
  <c r="B23" i="16" s="1"/>
  <c r="B24" i="16" s="1"/>
  <c r="B25" i="16" s="1"/>
  <c r="B26" i="16" s="1"/>
  <c r="B27" i="16" s="1"/>
  <c r="E28" i="16"/>
  <c r="G28" i="16" s="1"/>
  <c r="I28" i="16" s="1"/>
  <c r="K28" i="16" s="1"/>
  <c r="M28" i="16" s="1"/>
  <c r="O28" i="16" s="1"/>
  <c r="Q28" i="16" s="1"/>
  <c r="S28" i="16" s="1"/>
  <c r="U28" i="16" s="1"/>
  <c r="W28" i="16" s="1"/>
  <c r="Y28" i="16" s="1"/>
  <c r="AA28" i="16" s="1"/>
  <c r="AC28" i="16" s="1"/>
  <c r="AE28" i="16" s="1"/>
  <c r="AG28" i="16" s="1"/>
  <c r="AI28" i="16" s="1"/>
  <c r="AT37" i="13" l="1"/>
  <c r="AV37" i="13" s="1"/>
  <c r="N38" i="13"/>
  <c r="O38" i="13" s="1"/>
  <c r="Q38" i="13" s="1"/>
</calcChain>
</file>

<file path=xl/sharedStrings.xml><?xml version="1.0" encoding="utf-8"?>
<sst xmlns="http://schemas.openxmlformats.org/spreadsheetml/2006/main" count="460" uniqueCount="162">
  <si>
    <t>30" Conductor</t>
  </si>
  <si>
    <t>O</t>
  </si>
  <si>
    <t>20" Surface Casing</t>
  </si>
  <si>
    <t>13-3/8" Intermediate Casing</t>
  </si>
  <si>
    <t>Cement</t>
  </si>
  <si>
    <t>Plug</t>
  </si>
  <si>
    <t>100 ft</t>
  </si>
  <si>
    <t>Deepest  Casing</t>
  </si>
  <si>
    <t>Oil, Gas</t>
  </si>
  <si>
    <t>Water Zones</t>
  </si>
  <si>
    <t>Cement Retainer</t>
  </si>
  <si>
    <t>Cement Plug</t>
  </si>
  <si>
    <t>50 ft</t>
  </si>
  <si>
    <t>50-100 ft above shoe</t>
  </si>
  <si>
    <t>150 ft above shoe</t>
  </si>
  <si>
    <t>Permanent Bridge Plug</t>
  </si>
  <si>
    <t>50-100 ft</t>
  </si>
  <si>
    <t>150 ft</t>
  </si>
  <si>
    <t>Bridge Plug</t>
  </si>
  <si>
    <t>200 ft</t>
  </si>
  <si>
    <t>Cut Casing</t>
  </si>
  <si>
    <t>Ground Level</t>
  </si>
  <si>
    <t>15.8 ppg Cement</t>
  </si>
  <si>
    <t>Spacer</t>
  </si>
  <si>
    <t>Mud Displacement</t>
  </si>
  <si>
    <t>New</t>
  </si>
  <si>
    <t>Hole</t>
  </si>
  <si>
    <t>3 m</t>
  </si>
  <si>
    <t>Pressure Test Casing</t>
  </si>
  <si>
    <t>LOT</t>
  </si>
  <si>
    <t>Gas To Surface</t>
  </si>
  <si>
    <t>Fracturing</t>
  </si>
  <si>
    <t>Fluid</t>
  </si>
  <si>
    <t>Hydro Fracturing</t>
  </si>
  <si>
    <t>Well DST</t>
  </si>
  <si>
    <t>Valve</t>
  </si>
  <si>
    <t>Cementing</t>
  </si>
  <si>
    <t>OMNI</t>
  </si>
  <si>
    <t>Multi Cicle</t>
  </si>
  <si>
    <t>Set Packer</t>
  </si>
  <si>
    <t>Set Production Packer</t>
  </si>
  <si>
    <t>MW = 9.3 ppg</t>
  </si>
  <si>
    <t>MW = 12.5 ppg</t>
  </si>
  <si>
    <t>Pressure Test after Bump Plug</t>
  </si>
  <si>
    <t>10000  ft-TVD</t>
  </si>
  <si>
    <t>6000 ft-TVD</t>
  </si>
  <si>
    <t>9-5/8" casing, 47 ppf, L-80</t>
  </si>
  <si>
    <t>NSCC Connection</t>
  </si>
  <si>
    <t>9700 ft-TVD</t>
  </si>
  <si>
    <t>TOC</t>
  </si>
  <si>
    <t>5500 ft-TVD</t>
  </si>
  <si>
    <t>MW = 10.3 ppg</t>
  </si>
  <si>
    <t>MW prior to drill</t>
  </si>
  <si>
    <t>4000 psi</t>
  </si>
  <si>
    <t>P. Test</t>
  </si>
  <si>
    <t>MW</t>
  </si>
  <si>
    <t>9.5 ppg</t>
  </si>
  <si>
    <t>Lead Cement</t>
  </si>
  <si>
    <t>= 12.8 ppg</t>
  </si>
  <si>
    <t>Tail Cement</t>
  </si>
  <si>
    <t>= 15.8 ppg</t>
  </si>
  <si>
    <t xml:space="preserve">13-3/8" casing, </t>
  </si>
  <si>
    <t>68 ppf, L-80</t>
  </si>
  <si>
    <t>Box</t>
  </si>
  <si>
    <t>Single Joint</t>
  </si>
  <si>
    <t>Make Up Joint</t>
  </si>
  <si>
    <t>Effective Length</t>
  </si>
  <si>
    <t>End To End Length</t>
  </si>
  <si>
    <t>Make Up</t>
  </si>
  <si>
    <t>Lost</t>
  </si>
  <si>
    <t>Pin End</t>
  </si>
  <si>
    <t xml:space="preserve">Tri Angle Mark   </t>
  </si>
  <si>
    <t>Rig Floor</t>
  </si>
  <si>
    <t>Casing Stick Up</t>
  </si>
  <si>
    <t>Rat Hole</t>
  </si>
  <si>
    <t>Premium Connection</t>
  </si>
  <si>
    <t>10000  ft-MD</t>
  </si>
  <si>
    <t>9700 ft-MD</t>
  </si>
  <si>
    <t>5500 ft-MD</t>
  </si>
  <si>
    <t>Higher FC Depth</t>
  </si>
  <si>
    <t>Higher Shoe Depth</t>
  </si>
  <si>
    <t>Long</t>
  </si>
  <si>
    <t>Bigger size pocket</t>
  </si>
  <si>
    <t>Lower TOC</t>
  </si>
  <si>
    <t>Theoritical</t>
  </si>
  <si>
    <t>Wrong Casing Tally</t>
  </si>
  <si>
    <t>Drilling Next Section</t>
  </si>
  <si>
    <t>Gas Kick</t>
  </si>
  <si>
    <t>Tubing Leak</t>
  </si>
  <si>
    <t>Frac at Shoe</t>
  </si>
  <si>
    <t>Displace</t>
  </si>
  <si>
    <t>Full Evacuation</t>
  </si>
  <si>
    <t>Mud Level</t>
  </si>
  <si>
    <t>F=P/A</t>
  </si>
  <si>
    <t>4000 psi?</t>
  </si>
  <si>
    <t>Leak Off Test</t>
  </si>
  <si>
    <t>Total Lost Zone</t>
  </si>
  <si>
    <t>Total Lost Circulation</t>
  </si>
  <si>
    <t>Drill with Water</t>
  </si>
  <si>
    <t>Pump Cement Slurry</t>
  </si>
  <si>
    <t>9-5/8" casing</t>
  </si>
  <si>
    <t>Annular Pressure</t>
  </si>
  <si>
    <t xml:space="preserve"> Build Up</t>
  </si>
  <si>
    <t xml:space="preserve">Lost returns </t>
  </si>
  <si>
    <t>With mud drop</t>
  </si>
  <si>
    <t>Hole Pack Off</t>
  </si>
  <si>
    <t>Pipe Stuck</t>
  </si>
  <si>
    <t xml:space="preserve">Over </t>
  </si>
  <si>
    <t>Pulled</t>
  </si>
  <si>
    <t>Pull Casing =</t>
  </si>
  <si>
    <t>Over Pulled + Casing Weight</t>
  </si>
  <si>
    <t>Run Casing - Stuck</t>
  </si>
  <si>
    <t>2500 ft</t>
  </si>
  <si>
    <t>4000 ft</t>
  </si>
  <si>
    <t>6500 ft</t>
  </si>
  <si>
    <t>8500 ft</t>
  </si>
  <si>
    <t>EMW (Equivalent Mud Weigt), ppg</t>
  </si>
  <si>
    <t>Well Depth, ft-TVD</t>
  </si>
  <si>
    <t>PP, MW, FG and Casing Depth Sellection</t>
  </si>
  <si>
    <t>MW = ?</t>
  </si>
  <si>
    <t>FG = ?</t>
  </si>
  <si>
    <t>9500 ft</t>
  </si>
  <si>
    <t>Pore Pressure</t>
  </si>
  <si>
    <t>Fracture Gradient</t>
  </si>
  <si>
    <t>Initial Gas Kick</t>
  </si>
  <si>
    <t>Gas Kick at Shoe</t>
  </si>
  <si>
    <t>12-1/4" Hole</t>
  </si>
  <si>
    <t>13-3/8" Casing</t>
  </si>
  <si>
    <t>8" DC, 120 ft</t>
  </si>
  <si>
    <t>5" drill string</t>
  </si>
  <si>
    <t>To surface</t>
  </si>
  <si>
    <t>Inclination = 0 deg</t>
  </si>
  <si>
    <t>Inclination = 30 deg</t>
  </si>
  <si>
    <t>MW = 9.5 ppg</t>
  </si>
  <si>
    <t>3000 ft</t>
  </si>
  <si>
    <t>8000 ft</t>
  </si>
  <si>
    <t>9850 ft-TVD</t>
  </si>
  <si>
    <t>5300 ft-TVD</t>
  </si>
  <si>
    <t>5000 ft-TVD</t>
  </si>
  <si>
    <t>Single slurry</t>
  </si>
  <si>
    <t>16.5 ppg</t>
  </si>
  <si>
    <t>16.8 ppg</t>
  </si>
  <si>
    <t>Mud</t>
  </si>
  <si>
    <t>ft-TVD</t>
  </si>
  <si>
    <t>Internal</t>
  </si>
  <si>
    <t>Cement Volume</t>
  </si>
  <si>
    <t>Shoe track</t>
  </si>
  <si>
    <t>OH</t>
  </si>
  <si>
    <t>CH</t>
  </si>
  <si>
    <t>Bbls</t>
  </si>
  <si>
    <t>bbl/ft</t>
  </si>
  <si>
    <t>External</t>
  </si>
  <si>
    <t>Net</t>
  </si>
  <si>
    <t>Total</t>
  </si>
  <si>
    <t>Cmt height</t>
  </si>
  <si>
    <t>Press</t>
  </si>
  <si>
    <t>36#L80</t>
  </si>
  <si>
    <t>SF</t>
  </si>
  <si>
    <t>Csg Grade</t>
  </si>
  <si>
    <t>5000 ft</t>
  </si>
  <si>
    <t>ft cement</t>
  </si>
  <si>
    <t>ft Mud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</si>
</sst>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0.0"/>
    <numFmt numFmtId="166" formatCode="0.00000"/>
  </numFmts>
  <fonts count="2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FF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24"/>
      <color rgb="FFFFFF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1"/>
      <name val="Calibri"/>
      <family val="2"/>
      <scheme val="minor"/>
    </font>
    <font>
      <b/>
      <sz val="20"/>
      <color rgb="FFC00000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rgb="FFC00000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sz val="14"/>
      <color rgb="FFFF0000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darkTrellis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darkTrellis">
        <bgColor theme="0" tint="-0.34998626667073579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darkVertical">
        <bgColor theme="0" tint="-4.9989318521683403E-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darkGrid">
        <bgColor rgb="FFCCFF99"/>
      </patternFill>
    </fill>
    <fill>
      <patternFill patternType="gray0625">
        <bgColor rgb="FFFFC000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</fills>
  <borders count="93">
    <border>
      <left/>
      <right/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 style="mediumDashed">
        <color auto="1"/>
      </left>
      <right/>
      <top/>
      <bottom/>
      <diagonal/>
    </border>
    <border>
      <left style="dotted">
        <color auto="1"/>
      </left>
      <right/>
      <top/>
      <bottom/>
      <diagonal/>
    </border>
    <border>
      <left style="mediumDashed">
        <color auto="1"/>
      </left>
      <right style="dotted">
        <color auto="1"/>
      </right>
      <top/>
      <bottom/>
      <diagonal/>
    </border>
    <border>
      <left/>
      <right style="dotted">
        <color auto="1"/>
      </right>
      <top/>
      <bottom/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n">
        <color indexed="64"/>
      </bottom>
      <diagonal/>
    </border>
    <border>
      <left/>
      <right style="thick">
        <color auto="1"/>
      </right>
      <top/>
      <bottom style="thin">
        <color indexed="64"/>
      </bottom>
      <diagonal/>
    </border>
    <border>
      <left style="thick">
        <color auto="1"/>
      </left>
      <right/>
      <top style="thin">
        <color indexed="64"/>
      </top>
      <bottom style="thick">
        <color auto="1"/>
      </bottom>
      <diagonal/>
    </border>
    <border>
      <left/>
      <right style="thick">
        <color auto="1"/>
      </right>
      <top style="thin">
        <color indexed="64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dashed">
        <color auto="1"/>
      </right>
      <top/>
      <bottom/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dashed">
        <color auto="1"/>
      </left>
      <right/>
      <top/>
      <bottom style="dashed">
        <color auto="1"/>
      </bottom>
      <diagonal/>
    </border>
    <border>
      <left/>
      <right/>
      <top/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dashed">
        <color auto="1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/>
      <diagonal/>
    </border>
    <border diagonalUp="1" diagonalDown="1"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Dot">
        <color indexed="64"/>
      </left>
      <right/>
      <top/>
      <bottom style="medium">
        <color indexed="64"/>
      </bottom>
      <diagonal/>
    </border>
    <border>
      <left style="dashDot">
        <color indexed="64"/>
      </left>
      <right/>
      <top/>
      <bottom/>
      <diagonal/>
    </border>
    <border>
      <left/>
      <right style="dashDot">
        <color indexed="64"/>
      </right>
      <top/>
      <bottom style="medium">
        <color indexed="64"/>
      </bottom>
      <diagonal/>
    </border>
    <border>
      <left/>
      <right style="dashDot">
        <color indexed="64"/>
      </right>
      <top/>
      <bottom/>
      <diagonal/>
    </border>
    <border>
      <left style="dashDot">
        <color indexed="64"/>
      </left>
      <right style="dashDot">
        <color indexed="64"/>
      </right>
      <top/>
      <bottom/>
      <diagonal/>
    </border>
    <border diagonalUp="1">
      <left/>
      <right/>
      <top style="medium">
        <color auto="1"/>
      </top>
      <bottom/>
      <diagonal style="dashDot">
        <color auto="1"/>
      </diagonal>
    </border>
    <border diagonalDown="1">
      <left style="medium">
        <color indexed="64"/>
      </left>
      <right style="thick">
        <color auto="1"/>
      </right>
      <top style="medium">
        <color indexed="64"/>
      </top>
      <bottom/>
      <diagonal style="medium">
        <color indexed="64"/>
      </diagonal>
    </border>
    <border diagonalUp="1">
      <left style="thick">
        <color auto="1"/>
      </left>
      <right style="medium">
        <color indexed="64"/>
      </right>
      <top style="thick">
        <color auto="1"/>
      </top>
      <bottom/>
      <diagonal style="thick">
        <color auto="1"/>
      </diagonal>
    </border>
    <border>
      <left style="dashDotDot">
        <color auto="1"/>
      </left>
      <right/>
      <top style="dashDotDot">
        <color auto="1"/>
      </top>
      <bottom/>
      <diagonal/>
    </border>
    <border>
      <left/>
      <right/>
      <top style="dashDotDot">
        <color auto="1"/>
      </top>
      <bottom/>
      <diagonal/>
    </border>
    <border>
      <left style="dashDotDot">
        <color auto="1"/>
      </left>
      <right/>
      <top/>
      <bottom/>
      <diagonal/>
    </border>
    <border>
      <left style="dashDotDot">
        <color auto="1"/>
      </left>
      <right/>
      <top/>
      <bottom style="dashDotDot">
        <color auto="1"/>
      </bottom>
      <diagonal/>
    </border>
    <border>
      <left/>
      <right/>
      <top/>
      <bottom style="dashDotDot">
        <color auto="1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/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 style="dashDot">
        <color auto="1"/>
      </right>
      <top/>
      <bottom style="dashDot">
        <color auto="1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/>
      <bottom style="mediumDashDot">
        <color rgb="FFC00000"/>
      </bottom>
      <diagonal/>
    </border>
    <border>
      <left/>
      <right/>
      <top/>
      <bottom style="mediumDashDot">
        <color rgb="FFC00000"/>
      </bottom>
      <diagonal/>
    </border>
    <border>
      <left/>
      <right style="dotted">
        <color auto="1"/>
      </right>
      <top/>
      <bottom style="mediumDashDot">
        <color rgb="FFC00000"/>
      </bottom>
      <diagonal/>
    </border>
    <border>
      <left style="thick">
        <color auto="1"/>
      </left>
      <right/>
      <top/>
      <bottom style="mediumDashDot">
        <color rgb="FFFF0000"/>
      </bottom>
      <diagonal/>
    </border>
    <border>
      <left/>
      <right/>
      <top/>
      <bottom style="mediumDashDot">
        <color rgb="FFFF0000"/>
      </bottom>
      <diagonal/>
    </border>
    <border>
      <left/>
      <right style="dotted">
        <color auto="1"/>
      </right>
      <top/>
      <bottom style="mediumDashDot">
        <color rgb="FFFF0000"/>
      </bottom>
      <diagonal/>
    </border>
    <border diagonalUp="1" diagonalDown="1"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medium">
        <color auto="1"/>
      </diagonal>
    </border>
    <border>
      <left style="dashDotDot">
        <color auto="1"/>
      </left>
      <right style="dashDotDot">
        <color auto="1"/>
      </right>
      <top/>
      <bottom style="dashDotDot">
        <color auto="1"/>
      </bottom>
      <diagonal/>
    </border>
    <border>
      <left style="dashDotDot">
        <color auto="1"/>
      </left>
      <right style="dashDotDot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19" fillId="0" borderId="0" applyFont="0" applyFill="0" applyBorder="0" applyAlignment="0" applyProtection="0"/>
  </cellStyleXfs>
  <cellXfs count="313">
    <xf numFmtId="0" fontId="0" fillId="0" borderId="0" xfId="0"/>
    <xf numFmtId="0" fontId="0" fillId="0" borderId="2" xfId="0" applyBorder="1"/>
    <xf numFmtId="0" fontId="0" fillId="0" borderId="4" xfId="0" applyBorder="1"/>
    <xf numFmtId="0" fontId="0" fillId="2" borderId="2" xfId="0" applyFill="1" applyBorder="1"/>
    <xf numFmtId="0" fontId="0" fillId="2" borderId="1" xfId="0" applyFill="1" applyBorder="1"/>
    <xf numFmtId="0" fontId="0" fillId="2" borderId="4" xfId="0" applyFill="1" applyBorder="1"/>
    <xf numFmtId="0" fontId="0" fillId="2" borderId="3" xfId="0" applyFill="1" applyBorder="1"/>
    <xf numFmtId="0" fontId="0" fillId="2" borderId="0" xfId="0" applyFill="1"/>
    <xf numFmtId="0" fontId="0" fillId="0" borderId="5" xfId="0" applyBorder="1"/>
    <xf numFmtId="0" fontId="0" fillId="2" borderId="5" xfId="0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applyBorder="1"/>
    <xf numFmtId="0" fontId="0" fillId="2" borderId="6" xfId="0" applyFill="1" applyBorder="1"/>
    <xf numFmtId="0" fontId="0" fillId="2" borderId="9" xfId="0" applyFill="1" applyBorder="1"/>
    <xf numFmtId="0" fontId="0" fillId="2" borderId="8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3" xfId="0" applyFill="1" applyBorder="1"/>
    <xf numFmtId="0" fontId="0" fillId="2" borderId="14" xfId="0" applyFill="1" applyBorder="1"/>
    <xf numFmtId="0" fontId="0" fillId="0" borderId="4" xfId="0" applyFill="1" applyBorder="1"/>
    <xf numFmtId="0" fontId="0" fillId="0" borderId="2" xfId="0" applyFill="1" applyBorder="1"/>
    <xf numFmtId="0" fontId="0" fillId="3" borderId="0" xfId="0" applyFill="1"/>
    <xf numFmtId="0" fontId="0" fillId="3" borderId="0" xfId="0" applyFill="1" applyBorder="1"/>
    <xf numFmtId="0" fontId="0" fillId="4" borderId="0" xfId="0" applyFill="1" applyBorder="1"/>
    <xf numFmtId="0" fontId="0" fillId="5" borderId="18" xfId="0" applyFill="1" applyBorder="1"/>
    <xf numFmtId="0" fontId="0" fillId="5" borderId="19" xfId="0" applyFill="1" applyBorder="1"/>
    <xf numFmtId="0" fontId="0" fillId="5" borderId="20" xfId="0" applyFill="1" applyBorder="1"/>
    <xf numFmtId="0" fontId="0" fillId="5" borderId="21" xfId="0" applyFill="1" applyBorder="1"/>
    <xf numFmtId="0" fontId="0" fillId="5" borderId="22" xfId="0" applyFill="1" applyBorder="1"/>
    <xf numFmtId="0" fontId="0" fillId="5" borderId="23" xfId="0" applyFill="1" applyBorder="1"/>
    <xf numFmtId="0" fontId="0" fillId="0" borderId="0" xfId="0" applyFill="1" applyBorder="1"/>
    <xf numFmtId="0" fontId="0" fillId="2" borderId="24" xfId="0" applyFill="1" applyBorder="1"/>
    <xf numFmtId="0" fontId="0" fillId="0" borderId="25" xfId="0" applyBorder="1"/>
    <xf numFmtId="0" fontId="0" fillId="0" borderId="27" xfId="0" applyBorder="1"/>
    <xf numFmtId="0" fontId="0" fillId="0" borderId="26" xfId="0" applyBorder="1"/>
    <xf numFmtId="0" fontId="0" fillId="2" borderId="28" xfId="0" applyFill="1" applyBorder="1"/>
    <xf numFmtId="0" fontId="0" fillId="0" borderId="27" xfId="0" applyFill="1" applyBorder="1"/>
    <xf numFmtId="0" fontId="0" fillId="0" borderId="29" xfId="0" applyBorder="1"/>
    <xf numFmtId="0" fontId="0" fillId="0" borderId="17" xfId="0" applyBorder="1"/>
    <xf numFmtId="0" fontId="0" fillId="0" borderId="17" xfId="0" applyFill="1" applyBorder="1"/>
    <xf numFmtId="0" fontId="0" fillId="6" borderId="4" xfId="0" applyFill="1" applyBorder="1"/>
    <xf numFmtId="0" fontId="0" fillId="6" borderId="0" xfId="0" applyFill="1" applyBorder="1"/>
    <xf numFmtId="0" fontId="0" fillId="6" borderId="4" xfId="0" applyFill="1" applyBorder="1" applyAlignment="1"/>
    <xf numFmtId="0" fontId="0" fillId="6" borderId="0" xfId="0" applyFill="1" applyBorder="1" applyAlignment="1"/>
    <xf numFmtId="0" fontId="0" fillId="6" borderId="2" xfId="0" applyFill="1" applyBorder="1"/>
    <xf numFmtId="0" fontId="0" fillId="6" borderId="2" xfId="0" applyFill="1" applyBorder="1" applyAlignment="1"/>
    <xf numFmtId="0" fontId="0" fillId="6" borderId="25" xfId="0" applyFill="1" applyBorder="1"/>
    <xf numFmtId="0" fontId="0" fillId="4" borderId="30" xfId="0" applyFill="1" applyBorder="1"/>
    <xf numFmtId="0" fontId="0" fillId="4" borderId="31" xfId="0" applyFill="1" applyBorder="1"/>
    <xf numFmtId="0" fontId="0" fillId="4" borderId="32" xfId="0" applyFill="1" applyBorder="1"/>
    <xf numFmtId="0" fontId="0" fillId="4" borderId="25" xfId="0" applyFill="1" applyBorder="1"/>
    <xf numFmtId="0" fontId="0" fillId="4" borderId="34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0" fillId="4" borderId="33" xfId="0" applyFill="1" applyBorder="1" applyAlignment="1">
      <alignment horizontal="center"/>
    </xf>
    <xf numFmtId="0" fontId="0" fillId="7" borderId="0" xfId="0" applyFill="1"/>
    <xf numFmtId="0" fontId="0" fillId="7" borderId="25" xfId="0" applyFill="1" applyBorder="1"/>
    <xf numFmtId="0" fontId="0" fillId="8" borderId="27" xfId="0" applyFill="1" applyBorder="1"/>
    <xf numFmtId="0" fontId="3" fillId="8" borderId="27" xfId="0" applyFont="1" applyFill="1" applyBorder="1" applyAlignment="1">
      <alignment horizontal="center"/>
    </xf>
    <xf numFmtId="0" fontId="0" fillId="0" borderId="24" xfId="0" applyFill="1" applyBorder="1"/>
    <xf numFmtId="0" fontId="0" fillId="0" borderId="28" xfId="0" applyFill="1" applyBorder="1"/>
    <xf numFmtId="0" fontId="0" fillId="0" borderId="35" xfId="0" applyFill="1" applyBorder="1"/>
    <xf numFmtId="0" fontId="0" fillId="8" borderId="4" xfId="0" applyFill="1" applyBorder="1"/>
    <xf numFmtId="0" fontId="0" fillId="8" borderId="2" xfId="0" applyFill="1" applyBorder="1"/>
    <xf numFmtId="0" fontId="0" fillId="8" borderId="4" xfId="0" applyFill="1" applyBorder="1" applyAlignment="1"/>
    <xf numFmtId="0" fontId="0" fillId="8" borderId="2" xfId="0" applyFill="1" applyBorder="1" applyAlignment="1"/>
    <xf numFmtId="0" fontId="3" fillId="0" borderId="27" xfId="0" applyFont="1" applyFill="1" applyBorder="1" applyAlignment="1">
      <alignment horizontal="center"/>
    </xf>
    <xf numFmtId="0" fontId="2" fillId="8" borderId="0" xfId="0" applyFont="1" applyFill="1" applyBorder="1" applyAlignment="1">
      <alignment horizontal="center"/>
    </xf>
    <xf numFmtId="0" fontId="0" fillId="0" borderId="0" xfId="0" applyFill="1" applyBorder="1" applyAlignment="1">
      <alignment vertical="center"/>
    </xf>
    <xf numFmtId="0" fontId="2" fillId="8" borderId="0" xfId="0" applyFont="1" applyFill="1" applyBorder="1" applyAlignment="1">
      <alignment horizontal="left" indent="1"/>
    </xf>
    <xf numFmtId="0" fontId="4" fillId="0" borderId="0" xfId="0" applyFont="1"/>
    <xf numFmtId="0" fontId="0" fillId="0" borderId="0" xfId="0" applyAlignment="1">
      <alignment horizontal="right"/>
    </xf>
    <xf numFmtId="0" fontId="5" fillId="0" borderId="0" xfId="0" applyFont="1"/>
    <xf numFmtId="0" fontId="4" fillId="0" borderId="0" xfId="0" applyFont="1" applyAlignment="1">
      <alignment horizontal="right"/>
    </xf>
    <xf numFmtId="0" fontId="2" fillId="0" borderId="0" xfId="0" applyFont="1" applyFill="1" applyBorder="1" applyAlignment="1">
      <alignment horizontal="left" indent="1"/>
    </xf>
    <xf numFmtId="0" fontId="0" fillId="0" borderId="37" xfId="0" applyBorder="1"/>
    <xf numFmtId="0" fontId="3" fillId="0" borderId="17" xfId="0" applyFont="1" applyFill="1" applyBorder="1" applyAlignment="1">
      <alignment horizontal="center"/>
    </xf>
    <xf numFmtId="0" fontId="0" fillId="8" borderId="17" xfId="0" applyFill="1" applyBorder="1"/>
    <xf numFmtId="0" fontId="3" fillId="8" borderId="17" xfId="0" applyFont="1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9" borderId="17" xfId="0" applyFill="1" applyBorder="1"/>
    <xf numFmtId="0" fontId="3" fillId="9" borderId="17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1" fillId="8" borderId="17" xfId="0" applyFont="1" applyFill="1" applyBorder="1" applyAlignment="1">
      <alignment horizontal="left" indent="1"/>
    </xf>
    <xf numFmtId="0" fontId="1" fillId="0" borderId="17" xfId="0" applyFont="1" applyFill="1" applyBorder="1" applyAlignment="1">
      <alignment horizontal="left" indent="1"/>
    </xf>
    <xf numFmtId="0" fontId="1" fillId="3" borderId="17" xfId="0" applyFont="1" applyFill="1" applyBorder="1" applyAlignment="1">
      <alignment horizontal="center"/>
    </xf>
    <xf numFmtId="0" fontId="2" fillId="3" borderId="17" xfId="0" applyFont="1" applyFill="1" applyBorder="1" applyAlignment="1">
      <alignment horizontal="center"/>
    </xf>
    <xf numFmtId="0" fontId="0" fillId="3" borderId="4" xfId="0" applyFill="1" applyBorder="1"/>
    <xf numFmtId="0" fontId="0" fillId="3" borderId="36" xfId="0" applyFill="1" applyBorder="1"/>
    <xf numFmtId="0" fontId="0" fillId="10" borderId="0" xfId="0" applyFill="1" applyBorder="1"/>
    <xf numFmtId="0" fontId="0" fillId="3" borderId="2" xfId="0" applyFill="1" applyBorder="1"/>
    <xf numFmtId="0" fontId="0" fillId="10" borderId="0" xfId="0" applyFill="1"/>
    <xf numFmtId="0" fontId="0" fillId="3" borderId="0" xfId="0" applyFill="1" applyBorder="1" applyAlignment="1">
      <alignment horizontal="right"/>
    </xf>
    <xf numFmtId="0" fontId="0" fillId="0" borderId="19" xfId="0" applyBorder="1"/>
    <xf numFmtId="0" fontId="2" fillId="3" borderId="0" xfId="0" applyFont="1" applyFill="1" applyBorder="1" applyAlignment="1">
      <alignment vertical="center" wrapText="1"/>
    </xf>
    <xf numFmtId="0" fontId="2" fillId="3" borderId="17" xfId="0" applyFont="1" applyFill="1" applyBorder="1" applyAlignment="1">
      <alignment vertical="center"/>
    </xf>
    <xf numFmtId="0" fontId="2" fillId="3" borderId="0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17" xfId="0" applyFont="1" applyFill="1" applyBorder="1" applyAlignment="1">
      <alignment horizontal="center" vertical="center"/>
    </xf>
    <xf numFmtId="0" fontId="2" fillId="0" borderId="17" xfId="0" applyFont="1" applyFill="1" applyBorder="1" applyAlignment="1">
      <alignment vertical="center"/>
    </xf>
    <xf numFmtId="0" fontId="2" fillId="3" borderId="0" xfId="0" applyFont="1" applyFill="1" applyBorder="1" applyAlignment="1">
      <alignment horizontal="center"/>
    </xf>
    <xf numFmtId="0" fontId="0" fillId="6" borderId="17" xfId="0" applyFill="1" applyBorder="1"/>
    <xf numFmtId="0" fontId="3" fillId="8" borderId="17" xfId="0" applyFont="1" applyFill="1" applyBorder="1" applyAlignment="1">
      <alignment horizontal="left"/>
    </xf>
    <xf numFmtId="0" fontId="0" fillId="11" borderId="39" xfId="0" applyFill="1" applyBorder="1"/>
    <xf numFmtId="0" fontId="0" fillId="11" borderId="40" xfId="0" applyFill="1" applyBorder="1"/>
    <xf numFmtId="0" fontId="0" fillId="11" borderId="41" xfId="0" applyFill="1" applyBorder="1"/>
    <xf numFmtId="0" fontId="0" fillId="11" borderId="38" xfId="0" applyFill="1" applyBorder="1"/>
    <xf numFmtId="0" fontId="7" fillId="3" borderId="34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0" fillId="12" borderId="37" xfId="0" applyFill="1" applyBorder="1"/>
    <xf numFmtId="0" fontId="0" fillId="12" borderId="17" xfId="0" applyFill="1" applyBorder="1"/>
    <xf numFmtId="0" fontId="3" fillId="12" borderId="17" xfId="0" applyFont="1" applyFill="1" applyBorder="1" applyAlignment="1">
      <alignment horizontal="center"/>
    </xf>
    <xf numFmtId="0" fontId="7" fillId="12" borderId="17" xfId="0" applyFont="1" applyFill="1" applyBorder="1" applyAlignment="1">
      <alignment horizontal="center"/>
    </xf>
    <xf numFmtId="0" fontId="0" fillId="12" borderId="43" xfId="0" applyFill="1" applyBorder="1" applyAlignment="1">
      <alignment horizontal="center"/>
    </xf>
    <xf numFmtId="0" fontId="0" fillId="12" borderId="42" xfId="0" applyFill="1" applyBorder="1" applyAlignment="1">
      <alignment horizontal="center"/>
    </xf>
    <xf numFmtId="0" fontId="0" fillId="6" borderId="37" xfId="0" applyFill="1" applyBorder="1"/>
    <xf numFmtId="0" fontId="3" fillId="6" borderId="17" xfId="0" applyFont="1" applyFill="1" applyBorder="1" applyAlignment="1">
      <alignment horizontal="center"/>
    </xf>
    <xf numFmtId="0" fontId="0" fillId="6" borderId="17" xfId="0" applyFill="1" applyBorder="1" applyAlignment="1">
      <alignment horizontal="center"/>
    </xf>
    <xf numFmtId="0" fontId="0" fillId="3" borderId="44" xfId="0" applyFill="1" applyBorder="1"/>
    <xf numFmtId="0" fontId="0" fillId="13" borderId="37" xfId="0" applyFill="1" applyBorder="1"/>
    <xf numFmtId="0" fontId="0" fillId="13" borderId="17" xfId="0" applyFill="1" applyBorder="1"/>
    <xf numFmtId="0" fontId="3" fillId="13" borderId="17" xfId="0" applyFont="1" applyFill="1" applyBorder="1" applyAlignment="1">
      <alignment horizontal="center"/>
    </xf>
    <xf numFmtId="0" fontId="7" fillId="13" borderId="17" xfId="0" applyFont="1" applyFill="1" applyBorder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13" borderId="43" xfId="0" applyFont="1" applyFill="1" applyBorder="1" applyAlignment="1">
      <alignment horizontal="center"/>
    </xf>
    <xf numFmtId="0" fontId="9" fillId="13" borderId="42" xfId="0" applyFont="1" applyFill="1" applyBorder="1" applyAlignment="1">
      <alignment horizontal="center"/>
    </xf>
    <xf numFmtId="0" fontId="0" fillId="14" borderId="0" xfId="0" applyFill="1" applyBorder="1"/>
    <xf numFmtId="0" fontId="0" fillId="14" borderId="0" xfId="0" applyFill="1"/>
    <xf numFmtId="0" fontId="7" fillId="14" borderId="34" xfId="0" applyFont="1" applyFill="1" applyBorder="1" applyAlignment="1">
      <alignment horizontal="center"/>
    </xf>
    <xf numFmtId="0" fontId="7" fillId="14" borderId="12" xfId="0" applyFont="1" applyFill="1" applyBorder="1" applyAlignment="1">
      <alignment horizontal="center"/>
    </xf>
    <xf numFmtId="0" fontId="10" fillId="0" borderId="0" xfId="0" applyFont="1"/>
    <xf numFmtId="0" fontId="0" fillId="0" borderId="0" xfId="0" quotePrefix="1"/>
    <xf numFmtId="0" fontId="0" fillId="0" borderId="49" xfId="0" applyBorder="1"/>
    <xf numFmtId="0" fontId="0" fillId="0" borderId="50" xfId="0" applyBorder="1"/>
    <xf numFmtId="0" fontId="0" fillId="6" borderId="46" xfId="0" applyFill="1" applyBorder="1"/>
    <xf numFmtId="0" fontId="0" fillId="6" borderId="47" xfId="0" applyFill="1" applyBorder="1" applyAlignment="1">
      <alignment horizontal="center" vertical="center"/>
    </xf>
    <xf numFmtId="0" fontId="0" fillId="6" borderId="48" xfId="0" applyFill="1" applyBorder="1"/>
    <xf numFmtId="0" fontId="0" fillId="15" borderId="51" xfId="0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4" fillId="0" borderId="0" xfId="0" applyFont="1"/>
    <xf numFmtId="0" fontId="0" fillId="0" borderId="53" xfId="0" applyBorder="1"/>
    <xf numFmtId="0" fontId="0" fillId="0" borderId="52" xfId="0" applyBorder="1"/>
    <xf numFmtId="0" fontId="0" fillId="0" borderId="55" xfId="0" applyBorder="1"/>
    <xf numFmtId="0" fontId="0" fillId="0" borderId="54" xfId="0" applyBorder="1"/>
    <xf numFmtId="0" fontId="16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56" xfId="0" applyFont="1" applyBorder="1" applyAlignment="1">
      <alignment horizontal="center"/>
    </xf>
    <xf numFmtId="0" fontId="14" fillId="6" borderId="47" xfId="0" applyFont="1" applyFill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0" fillId="0" borderId="57" xfId="0" applyBorder="1"/>
    <xf numFmtId="0" fontId="11" fillId="0" borderId="50" xfId="0" applyFont="1" applyBorder="1" applyAlignment="1">
      <alignment horizontal="right" vertical="center"/>
    </xf>
    <xf numFmtId="0" fontId="12" fillId="0" borderId="0" xfId="0" applyFont="1"/>
    <xf numFmtId="0" fontId="0" fillId="16" borderId="49" xfId="0" applyFill="1" applyBorder="1"/>
    <xf numFmtId="0" fontId="0" fillId="16" borderId="50" xfId="0" applyFill="1" applyBorder="1"/>
    <xf numFmtId="0" fontId="0" fillId="16" borderId="51" xfId="0" applyFill="1" applyBorder="1"/>
    <xf numFmtId="0" fontId="12" fillId="16" borderId="49" xfId="0" applyFont="1" applyFill="1" applyBorder="1"/>
    <xf numFmtId="0" fontId="12" fillId="16" borderId="50" xfId="0" applyFont="1" applyFill="1" applyBorder="1"/>
    <xf numFmtId="0" fontId="0" fillId="0" borderId="58" xfId="0" applyBorder="1"/>
    <xf numFmtId="0" fontId="12" fillId="0" borderId="59" xfId="0" applyFont="1" applyBorder="1"/>
    <xf numFmtId="0" fontId="0" fillId="6" borderId="0" xfId="0" applyFill="1"/>
    <xf numFmtId="0" fontId="10" fillId="6" borderId="0" xfId="0" applyFont="1" applyFill="1"/>
    <xf numFmtId="0" fontId="0" fillId="13" borderId="0" xfId="0" applyFill="1" applyBorder="1"/>
    <xf numFmtId="0" fontId="0" fillId="13" borderId="0" xfId="0" applyFill="1"/>
    <xf numFmtId="0" fontId="0" fillId="13" borderId="60" xfId="0" applyFill="1" applyBorder="1"/>
    <xf numFmtId="0" fontId="0" fillId="13" borderId="61" xfId="0" applyFill="1" applyBorder="1"/>
    <xf numFmtId="0" fontId="0" fillId="13" borderId="62" xfId="0" applyFill="1" applyBorder="1"/>
    <xf numFmtId="0" fontId="0" fillId="13" borderId="62" xfId="0" applyFill="1" applyBorder="1" applyAlignment="1">
      <alignment horizontal="right"/>
    </xf>
    <xf numFmtId="0" fontId="0" fillId="13" borderId="63" xfId="0" applyFill="1" applyBorder="1"/>
    <xf numFmtId="0" fontId="0" fillId="13" borderId="64" xfId="0" applyFill="1" applyBorder="1"/>
    <xf numFmtId="0" fontId="0" fillId="13" borderId="65" xfId="0" applyFill="1" applyBorder="1"/>
    <xf numFmtId="0" fontId="0" fillId="13" borderId="67" xfId="0" applyFill="1" applyBorder="1"/>
    <xf numFmtId="0" fontId="0" fillId="13" borderId="56" xfId="0" applyFill="1" applyBorder="1"/>
    <xf numFmtId="0" fontId="0" fillId="13" borderId="69" xfId="0" applyFill="1" applyBorder="1"/>
    <xf numFmtId="0" fontId="9" fillId="0" borderId="0" xfId="0" applyFont="1"/>
    <xf numFmtId="0" fontId="9" fillId="0" borderId="0" xfId="0" applyFont="1" applyAlignment="1">
      <alignment vertical="center"/>
    </xf>
    <xf numFmtId="0" fontId="9" fillId="13" borderId="66" xfId="0" applyFont="1" applyFill="1" applyBorder="1"/>
    <xf numFmtId="0" fontId="9" fillId="13" borderId="55" xfId="0" applyFont="1" applyFill="1" applyBorder="1"/>
    <xf numFmtId="0" fontId="9" fillId="13" borderId="68" xfId="0" quotePrefix="1" applyFont="1" applyFill="1" applyBorder="1"/>
    <xf numFmtId="0" fontId="8" fillId="0" borderId="0" xfId="0" applyFont="1" applyAlignment="1">
      <alignment horizontal="left"/>
    </xf>
    <xf numFmtId="0" fontId="0" fillId="0" borderId="56" xfId="0" applyBorder="1"/>
    <xf numFmtId="0" fontId="0" fillId="6" borderId="70" xfId="0" applyFill="1" applyBorder="1"/>
    <xf numFmtId="0" fontId="0" fillId="6" borderId="4" xfId="0" applyFill="1" applyBorder="1" applyAlignment="1">
      <alignment horizontal="center" vertical="center"/>
    </xf>
    <xf numFmtId="0" fontId="0" fillId="6" borderId="3" xfId="0" applyFill="1" applyBorder="1"/>
    <xf numFmtId="0" fontId="0" fillId="6" borderId="71" xfId="0" applyFill="1" applyBorder="1"/>
    <xf numFmtId="0" fontId="0" fillId="6" borderId="1" xfId="0" applyFill="1" applyBorder="1"/>
    <xf numFmtId="0" fontId="0" fillId="17" borderId="37" xfId="0" applyFill="1" applyBorder="1"/>
    <xf numFmtId="0" fontId="0" fillId="17" borderId="17" xfId="0" applyFill="1" applyBorder="1"/>
    <xf numFmtId="0" fontId="3" fillId="17" borderId="17" xfId="0" applyFont="1" applyFill="1" applyBorder="1" applyAlignment="1">
      <alignment horizontal="center"/>
    </xf>
    <xf numFmtId="0" fontId="7" fillId="17" borderId="17" xfId="0" applyFont="1" applyFill="1" applyBorder="1" applyAlignment="1">
      <alignment horizontal="center"/>
    </xf>
    <xf numFmtId="0" fontId="7" fillId="6" borderId="17" xfId="0" applyFont="1" applyFill="1" applyBorder="1" applyAlignment="1">
      <alignment horizontal="center"/>
    </xf>
    <xf numFmtId="0" fontId="0" fillId="18" borderId="37" xfId="0" applyFill="1" applyBorder="1"/>
    <xf numFmtId="0" fontId="0" fillId="18" borderId="17" xfId="0" applyFill="1" applyBorder="1"/>
    <xf numFmtId="0" fontId="3" fillId="18" borderId="17" xfId="0" applyFont="1" applyFill="1" applyBorder="1" applyAlignment="1">
      <alignment horizontal="center"/>
    </xf>
    <xf numFmtId="0" fontId="7" fillId="18" borderId="17" xfId="0" applyFont="1" applyFill="1" applyBorder="1" applyAlignment="1">
      <alignment horizontal="center"/>
    </xf>
    <xf numFmtId="0" fontId="0" fillId="18" borderId="17" xfId="0" applyFill="1" applyBorder="1" applyAlignment="1">
      <alignment horizontal="center"/>
    </xf>
    <xf numFmtId="0" fontId="0" fillId="13" borderId="17" xfId="0" applyFill="1" applyBorder="1" applyAlignment="1">
      <alignment horizontal="center"/>
    </xf>
    <xf numFmtId="0" fontId="0" fillId="13" borderId="4" xfId="0" applyFill="1" applyBorder="1"/>
    <xf numFmtId="0" fontId="0" fillId="19" borderId="2" xfId="0" applyFill="1" applyBorder="1"/>
    <xf numFmtId="0" fontId="0" fillId="19" borderId="4" xfId="0" applyFill="1" applyBorder="1"/>
    <xf numFmtId="0" fontId="17" fillId="13" borderId="17" xfId="0" applyFont="1" applyFill="1" applyBorder="1" applyAlignment="1">
      <alignment horizontal="center"/>
    </xf>
    <xf numFmtId="0" fontId="0" fillId="6" borderId="43" xfId="0" applyFill="1" applyBorder="1" applyAlignment="1">
      <alignment horizontal="center"/>
    </xf>
    <xf numFmtId="0" fontId="0" fillId="6" borderId="42" xfId="0" applyFill="1" applyBorder="1" applyAlignment="1">
      <alignment horizontal="center"/>
    </xf>
    <xf numFmtId="0" fontId="0" fillId="13" borderId="2" xfId="0" applyFill="1" applyBorder="1"/>
    <xf numFmtId="0" fontId="0" fillId="13" borderId="43" xfId="0" applyFill="1" applyBorder="1" applyAlignment="1">
      <alignment horizontal="center"/>
    </xf>
    <xf numFmtId="0" fontId="0" fillId="13" borderId="42" xfId="0" applyFill="1" applyBorder="1" applyAlignment="1">
      <alignment horizontal="center"/>
    </xf>
    <xf numFmtId="0" fontId="0" fillId="0" borderId="37" xfId="0" applyFill="1" applyBorder="1"/>
    <xf numFmtId="0" fontId="7" fillId="0" borderId="0" xfId="0" applyFont="1"/>
    <xf numFmtId="0" fontId="0" fillId="17" borderId="43" xfId="0" applyFill="1" applyBorder="1" applyAlignment="1">
      <alignment horizontal="center"/>
    </xf>
    <xf numFmtId="0" fontId="0" fillId="17" borderId="42" xfId="0" applyFill="1" applyBorder="1" applyAlignment="1">
      <alignment horizontal="center"/>
    </xf>
    <xf numFmtId="0" fontId="0" fillId="13" borderId="36" xfId="0" applyFill="1" applyBorder="1"/>
    <xf numFmtId="0" fontId="7" fillId="13" borderId="34" xfId="0" applyFont="1" applyFill="1" applyBorder="1" applyAlignment="1">
      <alignment horizontal="center"/>
    </xf>
    <xf numFmtId="0" fontId="7" fillId="13" borderId="12" xfId="0" applyFont="1" applyFill="1" applyBorder="1" applyAlignment="1">
      <alignment horizontal="center"/>
    </xf>
    <xf numFmtId="0" fontId="0" fillId="20" borderId="17" xfId="0" applyFill="1" applyBorder="1"/>
    <xf numFmtId="0" fontId="10" fillId="0" borderId="0" xfId="0" applyFont="1" applyAlignment="1"/>
    <xf numFmtId="0" fontId="10" fillId="0" borderId="45" xfId="0" applyFont="1" applyBorder="1" applyAlignment="1"/>
    <xf numFmtId="0" fontId="0" fillId="21" borderId="44" xfId="0" applyFill="1" applyBorder="1"/>
    <xf numFmtId="0" fontId="0" fillId="22" borderId="0" xfId="0" applyFill="1" applyBorder="1"/>
    <xf numFmtId="0" fontId="0" fillId="22" borderId="17" xfId="0" applyFill="1" applyBorder="1"/>
    <xf numFmtId="0" fontId="0" fillId="22" borderId="0" xfId="0" applyFill="1"/>
    <xf numFmtId="0" fontId="7" fillId="22" borderId="34" xfId="0" applyFont="1" applyFill="1" applyBorder="1" applyAlignment="1">
      <alignment horizontal="center"/>
    </xf>
    <xf numFmtId="0" fontId="7" fillId="22" borderId="12" xfId="0" applyFont="1" applyFill="1" applyBorder="1" applyAlignment="1">
      <alignment horizontal="center"/>
    </xf>
    <xf numFmtId="0" fontId="14" fillId="0" borderId="0" xfId="0" applyFont="1" applyAlignment="1">
      <alignment horizontal="right"/>
    </xf>
    <xf numFmtId="0" fontId="15" fillId="13" borderId="17" xfId="0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0" fillId="0" borderId="3" xfId="0" applyBorder="1"/>
    <xf numFmtId="0" fontId="0" fillId="0" borderId="72" xfId="0" applyBorder="1"/>
    <xf numFmtId="165" fontId="0" fillId="0" borderId="73" xfId="0" applyNumberFormat="1" applyBorder="1" applyAlignment="1">
      <alignment horizontal="center"/>
    </xf>
    <xf numFmtId="0" fontId="0" fillId="0" borderId="1" xfId="0" applyBorder="1"/>
    <xf numFmtId="0" fontId="0" fillId="13" borderId="6" xfId="0" applyFill="1" applyBorder="1"/>
    <xf numFmtId="0" fontId="0" fillId="13" borderId="8" xfId="0" applyFill="1" applyBorder="1"/>
    <xf numFmtId="0" fontId="0" fillId="13" borderId="9" xfId="0" applyFill="1" applyBorder="1"/>
    <xf numFmtId="0" fontId="0" fillId="13" borderId="10" xfId="0" applyFill="1" applyBorder="1"/>
    <xf numFmtId="0" fontId="0" fillId="0" borderId="74" xfId="0" applyBorder="1"/>
    <xf numFmtId="0" fontId="0" fillId="0" borderId="75" xfId="0" applyBorder="1"/>
    <xf numFmtId="0" fontId="0" fillId="0" borderId="75" xfId="0" applyBorder="1" applyAlignment="1">
      <alignment horizontal="right"/>
    </xf>
    <xf numFmtId="0" fontId="0" fillId="0" borderId="76" xfId="0" applyBorder="1" applyAlignment="1">
      <alignment horizontal="right"/>
    </xf>
    <xf numFmtId="164" fontId="0" fillId="0" borderId="0" xfId="1" applyFont="1"/>
    <xf numFmtId="0" fontId="15" fillId="0" borderId="0" xfId="0" applyFont="1"/>
    <xf numFmtId="0" fontId="20" fillId="0" borderId="0" xfId="0" applyFont="1"/>
    <xf numFmtId="165" fontId="0" fillId="0" borderId="73" xfId="0" applyNumberFormat="1" applyBorder="1" applyAlignment="1"/>
    <xf numFmtId="0" fontId="0" fillId="0" borderId="77" xfId="0" applyBorder="1"/>
    <xf numFmtId="0" fontId="0" fillId="0" borderId="78" xfId="0" applyBorder="1"/>
    <xf numFmtId="0" fontId="9" fillId="0" borderId="78" xfId="0" applyFont="1" applyBorder="1"/>
    <xf numFmtId="0" fontId="9" fillId="0" borderId="79" xfId="0" applyFont="1" applyBorder="1" applyAlignment="1">
      <alignment horizontal="right"/>
    </xf>
    <xf numFmtId="0" fontId="1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0" fillId="23" borderId="6" xfId="0" applyFill="1" applyBorder="1"/>
    <xf numFmtId="0" fontId="0" fillId="23" borderId="8" xfId="0" applyFill="1" applyBorder="1"/>
    <xf numFmtId="0" fontId="0" fillId="23" borderId="9" xfId="0" applyFill="1" applyBorder="1"/>
    <xf numFmtId="0" fontId="0" fillId="23" borderId="10" xfId="0" applyFill="1" applyBorder="1"/>
    <xf numFmtId="0" fontId="0" fillId="3" borderId="80" xfId="0" applyFill="1" applyBorder="1"/>
    <xf numFmtId="0" fontId="22" fillId="0" borderId="0" xfId="0" applyFont="1"/>
    <xf numFmtId="0" fontId="0" fillId="8" borderId="0" xfId="0" applyFill="1" applyBorder="1"/>
    <xf numFmtId="0" fontId="0" fillId="8" borderId="0" xfId="0" applyFill="1"/>
    <xf numFmtId="0" fontId="7" fillId="8" borderId="34" xfId="0" applyFont="1" applyFill="1" applyBorder="1" applyAlignment="1">
      <alignment horizontal="center"/>
    </xf>
    <xf numFmtId="0" fontId="7" fillId="8" borderId="12" xfId="0" applyFont="1" applyFill="1" applyBorder="1" applyAlignment="1">
      <alignment horizontal="center"/>
    </xf>
    <xf numFmtId="0" fontId="0" fillId="6" borderId="82" xfId="0" applyFill="1" applyBorder="1"/>
    <xf numFmtId="0" fontId="0" fillId="6" borderId="81" xfId="0" applyFill="1" applyBorder="1"/>
    <xf numFmtId="0" fontId="7" fillId="8" borderId="17" xfId="0" applyFont="1" applyFill="1" applyBorder="1" applyAlignment="1">
      <alignment horizontal="center"/>
    </xf>
    <xf numFmtId="165" fontId="0" fillId="0" borderId="0" xfId="0" applyNumberFormat="1"/>
    <xf numFmtId="1" fontId="0" fillId="0" borderId="0" xfId="0" applyNumberFormat="1"/>
    <xf numFmtId="0" fontId="0" fillId="0" borderId="22" xfId="0" applyBorder="1"/>
    <xf numFmtId="165" fontId="0" fillId="24" borderId="0" xfId="0" applyNumberFormat="1" applyFill="1"/>
    <xf numFmtId="1" fontId="0" fillId="24" borderId="0" xfId="0" applyNumberFormat="1" applyFill="1"/>
    <xf numFmtId="0" fontId="0" fillId="0" borderId="83" xfId="0" applyBorder="1"/>
    <xf numFmtId="0" fontId="0" fillId="0" borderId="84" xfId="0" applyBorder="1"/>
    <xf numFmtId="0" fontId="0" fillId="0" borderId="85" xfId="0" applyBorder="1"/>
    <xf numFmtId="165" fontId="0" fillId="0" borderId="86" xfId="0" applyNumberFormat="1" applyBorder="1"/>
    <xf numFmtId="0" fontId="0" fillId="0" borderId="87" xfId="0" applyBorder="1"/>
    <xf numFmtId="1" fontId="0" fillId="0" borderId="0" xfId="0" applyNumberFormat="1" applyBorder="1"/>
    <xf numFmtId="165" fontId="0" fillId="0" borderId="88" xfId="0" applyNumberFormat="1" applyBorder="1"/>
    <xf numFmtId="0" fontId="0" fillId="0" borderId="92" xfId="0" applyBorder="1"/>
    <xf numFmtId="1" fontId="0" fillId="0" borderId="22" xfId="0" applyNumberFormat="1" applyBorder="1"/>
    <xf numFmtId="2" fontId="10" fillId="0" borderId="0" xfId="0" applyNumberFormat="1" applyFont="1" applyAlignment="1"/>
    <xf numFmtId="0" fontId="0" fillId="0" borderId="40" xfId="0" applyBorder="1"/>
    <xf numFmtId="1" fontId="0" fillId="0" borderId="40" xfId="0" applyNumberFormat="1" applyBorder="1"/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Fill="1" applyBorder="1" applyAlignment="1">
      <alignment horizontal="left" vertical="center"/>
    </xf>
    <xf numFmtId="0" fontId="2" fillId="8" borderId="0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6" fillId="5" borderId="19" xfId="0" applyFont="1" applyFill="1" applyBorder="1" applyAlignment="1">
      <alignment horizontal="center" vertical="center"/>
    </xf>
    <xf numFmtId="0" fontId="6" fillId="5" borderId="22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 indent="1"/>
    </xf>
    <xf numFmtId="0" fontId="10" fillId="0" borderId="0" xfId="0" applyFont="1" applyAlignment="1">
      <alignment horizontal="right"/>
    </xf>
    <xf numFmtId="0" fontId="10" fillId="0" borderId="45" xfId="0" applyFont="1" applyBorder="1" applyAlignment="1">
      <alignment horizontal="right"/>
    </xf>
    <xf numFmtId="165" fontId="0" fillId="25" borderId="89" xfId="0" applyNumberFormat="1" applyFill="1" applyBorder="1" applyAlignment="1">
      <alignment horizontal="center"/>
    </xf>
    <xf numFmtId="0" fontId="0" fillId="25" borderId="19" xfId="0" applyFill="1" applyBorder="1" applyAlignment="1">
      <alignment horizontal="center"/>
    </xf>
    <xf numFmtId="166" fontId="0" fillId="0" borderId="86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5" fontId="0" fillId="0" borderId="86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5" fontId="0" fillId="24" borderId="90" xfId="0" applyNumberFormat="1" applyFill="1" applyBorder="1" applyAlignment="1">
      <alignment horizontal="center"/>
    </xf>
    <xf numFmtId="0" fontId="0" fillId="24" borderId="91" xfId="0" applyFill="1" applyBorder="1" applyAlignment="1">
      <alignment horizontal="center"/>
    </xf>
    <xf numFmtId="0" fontId="0" fillId="24" borderId="0" xfId="0" applyFill="1" applyAlignment="1">
      <alignment horizontal="center"/>
    </xf>
    <xf numFmtId="165" fontId="0" fillId="0" borderId="73" xfId="0" applyNumberFormat="1" applyBorder="1" applyAlignment="1">
      <alignment horizontal="center"/>
    </xf>
    <xf numFmtId="0" fontId="15" fillId="0" borderId="0" xfId="0" applyFont="1" applyAlignment="1">
      <alignment horizontal="center" vertical="center" textRotation="90"/>
    </xf>
    <xf numFmtId="0" fontId="0" fillId="0" borderId="0" xfId="0" applyFill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colors>
    <mruColors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3.jpeg"/><Relationship Id="rId4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7" Type="http://schemas.openxmlformats.org/officeDocument/2006/relationships/image" Target="../media/image7.png"/><Relationship Id="rId2" Type="http://schemas.openxmlformats.org/officeDocument/2006/relationships/image" Target="../media/image4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3.jpeg"/><Relationship Id="rId4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eg"/><Relationship Id="rId2" Type="http://schemas.openxmlformats.org/officeDocument/2006/relationships/image" Target="../media/image9.jpeg"/><Relationship Id="rId1" Type="http://schemas.openxmlformats.org/officeDocument/2006/relationships/image" Target="../media/image8.jpe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1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27</xdr:row>
      <xdr:rowOff>9525</xdr:rowOff>
    </xdr:from>
    <xdr:to>
      <xdr:col>7</xdr:col>
      <xdr:colOff>66675</xdr:colOff>
      <xdr:row>28</xdr:row>
      <xdr:rowOff>19050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2133600" y="5200650"/>
          <a:ext cx="0" cy="4000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66675</xdr:colOff>
      <xdr:row>2</xdr:row>
      <xdr:rowOff>0</xdr:rowOff>
    </xdr:from>
    <xdr:to>
      <xdr:col>6</xdr:col>
      <xdr:colOff>66675</xdr:colOff>
      <xdr:row>2</xdr:row>
      <xdr:rowOff>342900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/>
      </xdr:nvCxnSpPr>
      <xdr:spPr>
        <a:xfrm>
          <a:off x="2057400" y="428625"/>
          <a:ext cx="0" cy="3429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</xdr:colOff>
      <xdr:row>29</xdr:row>
      <xdr:rowOff>19050</xdr:rowOff>
    </xdr:from>
    <xdr:to>
      <xdr:col>5</xdr:col>
      <xdr:colOff>57150</xdr:colOff>
      <xdr:row>31</xdr:row>
      <xdr:rowOff>28575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CxnSpPr/>
      </xdr:nvCxnSpPr>
      <xdr:spPr>
        <a:xfrm>
          <a:off x="1276350" y="5562600"/>
          <a:ext cx="0" cy="3905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57150</xdr:colOff>
      <xdr:row>32</xdr:row>
      <xdr:rowOff>180975</xdr:rowOff>
    </xdr:from>
    <xdr:to>
      <xdr:col>5</xdr:col>
      <xdr:colOff>57150</xdr:colOff>
      <xdr:row>35</xdr:row>
      <xdr:rowOff>19050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CxnSpPr/>
      </xdr:nvCxnSpPr>
      <xdr:spPr>
        <a:xfrm>
          <a:off x="1276350" y="6296025"/>
          <a:ext cx="0" cy="4095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57150</xdr:colOff>
      <xdr:row>25</xdr:row>
      <xdr:rowOff>9525</xdr:rowOff>
    </xdr:from>
    <xdr:to>
      <xdr:col>5</xdr:col>
      <xdr:colOff>57150</xdr:colOff>
      <xdr:row>27</xdr:row>
      <xdr:rowOff>19050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CxnSpPr/>
      </xdr:nvCxnSpPr>
      <xdr:spPr>
        <a:xfrm>
          <a:off x="1276350" y="4791075"/>
          <a:ext cx="0" cy="3905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76200</xdr:colOff>
      <xdr:row>23</xdr:row>
      <xdr:rowOff>0</xdr:rowOff>
    </xdr:from>
    <xdr:to>
      <xdr:col>3</xdr:col>
      <xdr:colOff>76200</xdr:colOff>
      <xdr:row>25</xdr:row>
      <xdr:rowOff>9525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CxnSpPr/>
      </xdr:nvCxnSpPr>
      <xdr:spPr>
        <a:xfrm>
          <a:off x="533400" y="4400550"/>
          <a:ext cx="0" cy="3905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57150</xdr:colOff>
      <xdr:row>29</xdr:row>
      <xdr:rowOff>19050</xdr:rowOff>
    </xdr:from>
    <xdr:to>
      <xdr:col>18</xdr:col>
      <xdr:colOff>57150</xdr:colOff>
      <xdr:row>31</xdr:row>
      <xdr:rowOff>28575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CxnSpPr/>
      </xdr:nvCxnSpPr>
      <xdr:spPr>
        <a:xfrm>
          <a:off x="1276350" y="5562600"/>
          <a:ext cx="0" cy="3905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57150</xdr:colOff>
      <xdr:row>32</xdr:row>
      <xdr:rowOff>180975</xdr:rowOff>
    </xdr:from>
    <xdr:to>
      <xdr:col>18</xdr:col>
      <xdr:colOff>57150</xdr:colOff>
      <xdr:row>35</xdr:row>
      <xdr:rowOff>19050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CxnSpPr/>
      </xdr:nvCxnSpPr>
      <xdr:spPr>
        <a:xfrm>
          <a:off x="1276350" y="6296025"/>
          <a:ext cx="0" cy="4095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57150</xdr:colOff>
      <xdr:row>23</xdr:row>
      <xdr:rowOff>180975</xdr:rowOff>
    </xdr:from>
    <xdr:to>
      <xdr:col>17</xdr:col>
      <xdr:colOff>57150</xdr:colOff>
      <xdr:row>26</xdr:row>
      <xdr:rowOff>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CxnSpPr/>
      </xdr:nvCxnSpPr>
      <xdr:spPr>
        <a:xfrm>
          <a:off x="5105400" y="4581525"/>
          <a:ext cx="0" cy="3905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76200</xdr:colOff>
      <xdr:row>21</xdr:row>
      <xdr:rowOff>152400</xdr:rowOff>
    </xdr:from>
    <xdr:to>
      <xdr:col>19</xdr:col>
      <xdr:colOff>76200</xdr:colOff>
      <xdr:row>23</xdr:row>
      <xdr:rowOff>9525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CxnSpPr/>
      </xdr:nvCxnSpPr>
      <xdr:spPr>
        <a:xfrm>
          <a:off x="5886450" y="4171950"/>
          <a:ext cx="0" cy="2381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38100</xdr:colOff>
      <xdr:row>23</xdr:row>
      <xdr:rowOff>19050</xdr:rowOff>
    </xdr:from>
    <xdr:to>
      <xdr:col>18</xdr:col>
      <xdr:colOff>114300</xdr:colOff>
      <xdr:row>23</xdr:row>
      <xdr:rowOff>180975</xdr:rowOff>
    </xdr:to>
    <xdr:sp macro="" textlink="">
      <xdr:nvSpPr>
        <xdr:cNvPr id="17" name="Flowchart: Collate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4953000" y="4419600"/>
          <a:ext cx="838200" cy="161925"/>
        </a:xfrm>
        <a:prstGeom prst="flowChartCollate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30</xdr:col>
      <xdr:colOff>57150</xdr:colOff>
      <xdr:row>29</xdr:row>
      <xdr:rowOff>19050</xdr:rowOff>
    </xdr:from>
    <xdr:to>
      <xdr:col>30</xdr:col>
      <xdr:colOff>57150</xdr:colOff>
      <xdr:row>31</xdr:row>
      <xdr:rowOff>28575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CxnSpPr/>
      </xdr:nvCxnSpPr>
      <xdr:spPr>
        <a:xfrm>
          <a:off x="5734050" y="5562600"/>
          <a:ext cx="0" cy="3905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57150</xdr:colOff>
      <xdr:row>32</xdr:row>
      <xdr:rowOff>180975</xdr:rowOff>
    </xdr:from>
    <xdr:to>
      <xdr:col>30</xdr:col>
      <xdr:colOff>57150</xdr:colOff>
      <xdr:row>35</xdr:row>
      <xdr:rowOff>19050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CxnSpPr/>
      </xdr:nvCxnSpPr>
      <xdr:spPr>
        <a:xfrm>
          <a:off x="5734050" y="6296025"/>
          <a:ext cx="0" cy="4095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76200</xdr:colOff>
      <xdr:row>21</xdr:row>
      <xdr:rowOff>152400</xdr:rowOff>
    </xdr:from>
    <xdr:to>
      <xdr:col>31</xdr:col>
      <xdr:colOff>76200</xdr:colOff>
      <xdr:row>23</xdr:row>
      <xdr:rowOff>9525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CxnSpPr/>
      </xdr:nvCxnSpPr>
      <xdr:spPr>
        <a:xfrm>
          <a:off x="5886450" y="4171950"/>
          <a:ext cx="0" cy="2381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38100</xdr:colOff>
      <xdr:row>23</xdr:row>
      <xdr:rowOff>19050</xdr:rowOff>
    </xdr:from>
    <xdr:to>
      <xdr:col>30</xdr:col>
      <xdr:colOff>114300</xdr:colOff>
      <xdr:row>23</xdr:row>
      <xdr:rowOff>180975</xdr:rowOff>
    </xdr:to>
    <xdr:sp macro="" textlink="">
      <xdr:nvSpPr>
        <xdr:cNvPr id="23" name="Flowchart: Collate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4953000" y="4419600"/>
          <a:ext cx="838200" cy="161925"/>
        </a:xfrm>
        <a:prstGeom prst="flowChartCollate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</xdr:colOff>
      <xdr:row>29</xdr:row>
      <xdr:rowOff>19050</xdr:rowOff>
    </xdr:from>
    <xdr:to>
      <xdr:col>5</xdr:col>
      <xdr:colOff>57150</xdr:colOff>
      <xdr:row>31</xdr:row>
      <xdr:rowOff>28575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CxnSpPr/>
      </xdr:nvCxnSpPr>
      <xdr:spPr>
        <a:xfrm>
          <a:off x="1276350" y="5562600"/>
          <a:ext cx="0" cy="3905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57150</xdr:colOff>
      <xdr:row>32</xdr:row>
      <xdr:rowOff>180975</xdr:rowOff>
    </xdr:from>
    <xdr:to>
      <xdr:col>5</xdr:col>
      <xdr:colOff>57150</xdr:colOff>
      <xdr:row>35</xdr:row>
      <xdr:rowOff>19050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/>
      </xdr:nvCxnSpPr>
      <xdr:spPr>
        <a:xfrm>
          <a:off x="1276350" y="6296025"/>
          <a:ext cx="0" cy="4095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27622</xdr:colOff>
      <xdr:row>32</xdr:row>
      <xdr:rowOff>50960</xdr:rowOff>
    </xdr:from>
    <xdr:to>
      <xdr:col>3</xdr:col>
      <xdr:colOff>123827</xdr:colOff>
      <xdr:row>32</xdr:row>
      <xdr:rowOff>96679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>
        <a:xfrm rot="16200000">
          <a:off x="448748" y="6083022"/>
          <a:ext cx="45719" cy="221221"/>
        </a:xfrm>
        <a:prstGeom prst="triangl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26431</xdr:colOff>
      <xdr:row>31</xdr:row>
      <xdr:rowOff>16431</xdr:rowOff>
    </xdr:from>
    <xdr:to>
      <xdr:col>3</xdr:col>
      <xdr:colOff>127399</xdr:colOff>
      <xdr:row>32</xdr:row>
      <xdr:rowOff>189548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GrpSpPr/>
      </xdr:nvGrpSpPr>
      <xdr:grpSpPr>
        <a:xfrm>
          <a:off x="376038" y="5781375"/>
          <a:ext cx="229395" cy="352272"/>
          <a:chOff x="359806" y="5945744"/>
          <a:chExt cx="225984" cy="363617"/>
        </a:xfrm>
      </xdr:grpSpPr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00000000-0008-0000-0300-00000E000000}"/>
              </a:ext>
            </a:extLst>
          </xdr:cNvPr>
          <xdr:cNvGrpSpPr/>
        </xdr:nvGrpSpPr>
        <xdr:grpSpPr>
          <a:xfrm>
            <a:off x="359806" y="5945744"/>
            <a:ext cx="224793" cy="219551"/>
            <a:chOff x="359806" y="5945744"/>
            <a:chExt cx="224793" cy="219551"/>
          </a:xfrm>
        </xdr:grpSpPr>
        <xdr:sp macro="" textlink="">
          <xdr:nvSpPr>
            <xdr:cNvPr id="6" name="Isosceles Triangle 5">
              <a:extLst>
                <a:ext uri="{FF2B5EF4-FFF2-40B4-BE49-F238E27FC236}">
                  <a16:creationId xmlns:a16="http://schemas.microsoft.com/office/drawing/2014/main" id="{00000000-0008-0000-0300-000006000000}"/>
                </a:ext>
              </a:extLst>
            </xdr:cNvPr>
            <xdr:cNvSpPr/>
          </xdr:nvSpPr>
          <xdr:spPr>
            <a:xfrm rot="16200000">
              <a:off x="449939" y="5857993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7" name="Isosceles Triangle 6">
              <a:extLst>
                <a:ext uri="{FF2B5EF4-FFF2-40B4-BE49-F238E27FC236}">
                  <a16:creationId xmlns:a16="http://schemas.microsoft.com/office/drawing/2014/main" id="{00000000-0008-0000-0300-000007000000}"/>
                </a:ext>
              </a:extLst>
            </xdr:cNvPr>
            <xdr:cNvSpPr/>
          </xdr:nvSpPr>
          <xdr:spPr>
            <a:xfrm rot="16200000">
              <a:off x="447558" y="5915144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8" name="Isosceles Triangle 7">
              <a:extLst>
                <a:ext uri="{FF2B5EF4-FFF2-40B4-BE49-F238E27FC236}">
                  <a16:creationId xmlns:a16="http://schemas.microsoft.com/office/drawing/2014/main" id="{00000000-0008-0000-0300-000008000000}"/>
                </a:ext>
              </a:extLst>
            </xdr:cNvPr>
            <xdr:cNvSpPr/>
          </xdr:nvSpPr>
          <xdr:spPr>
            <a:xfrm rot="16200000">
              <a:off x="447557" y="5974674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9" name="Isosceles Triangle 8">
              <a:extLst>
                <a:ext uri="{FF2B5EF4-FFF2-40B4-BE49-F238E27FC236}">
                  <a16:creationId xmlns:a16="http://schemas.microsoft.com/office/drawing/2014/main" id="{00000000-0008-0000-0300-000009000000}"/>
                </a:ext>
              </a:extLst>
            </xdr:cNvPr>
            <xdr:cNvSpPr/>
          </xdr:nvSpPr>
          <xdr:spPr>
            <a:xfrm rot="16200000">
              <a:off x="451129" y="6031825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15" name="Group 14">
            <a:extLst>
              <a:ext uri="{FF2B5EF4-FFF2-40B4-BE49-F238E27FC236}">
                <a16:creationId xmlns:a16="http://schemas.microsoft.com/office/drawing/2014/main" id="{00000000-0008-0000-0300-00000F000000}"/>
              </a:ext>
            </a:extLst>
          </xdr:cNvPr>
          <xdr:cNvGrpSpPr/>
        </xdr:nvGrpSpPr>
        <xdr:grpSpPr>
          <a:xfrm>
            <a:off x="360997" y="6212445"/>
            <a:ext cx="224793" cy="96916"/>
            <a:chOff x="360997" y="6212445"/>
            <a:chExt cx="224793" cy="96916"/>
          </a:xfrm>
        </xdr:grpSpPr>
        <xdr:sp macro="" textlink="">
          <xdr:nvSpPr>
            <xdr:cNvPr id="12" name="Isosceles Triangle 11">
              <a:extLst>
                <a:ext uri="{FF2B5EF4-FFF2-40B4-BE49-F238E27FC236}">
                  <a16:creationId xmlns:a16="http://schemas.microsoft.com/office/drawing/2014/main" id="{00000000-0008-0000-0300-00000C000000}"/>
                </a:ext>
              </a:extLst>
            </xdr:cNvPr>
            <xdr:cNvSpPr/>
          </xdr:nvSpPr>
          <xdr:spPr>
            <a:xfrm rot="16200000">
              <a:off x="448748" y="6124694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3" name="Isosceles Triangle 12">
              <a:extLst>
                <a:ext uri="{FF2B5EF4-FFF2-40B4-BE49-F238E27FC236}">
                  <a16:creationId xmlns:a16="http://schemas.microsoft.com/office/drawing/2014/main" id="{00000000-0008-0000-0300-00000D000000}"/>
                </a:ext>
              </a:extLst>
            </xdr:cNvPr>
            <xdr:cNvSpPr/>
          </xdr:nvSpPr>
          <xdr:spPr>
            <a:xfrm rot="16200000">
              <a:off x="452320" y="6175891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</xdr:grpSp>
    <xdr:clientData/>
  </xdr:twoCellAnchor>
  <xdr:twoCellAnchor>
    <xdr:from>
      <xdr:col>4</xdr:col>
      <xdr:colOff>624125</xdr:colOff>
      <xdr:row>31</xdr:row>
      <xdr:rowOff>20002</xdr:rowOff>
    </xdr:from>
    <xdr:to>
      <xdr:col>6</xdr:col>
      <xdr:colOff>90491</xdr:colOff>
      <xdr:row>33</xdr:row>
      <xdr:rowOff>14526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GrpSpPr/>
      </xdr:nvGrpSpPr>
      <xdr:grpSpPr>
        <a:xfrm flipH="1">
          <a:off x="1244855" y="5784946"/>
          <a:ext cx="272602" cy="365535"/>
          <a:chOff x="2332671" y="6377940"/>
          <a:chExt cx="228366" cy="375524"/>
        </a:xfrm>
      </xdr:grpSpPr>
      <xdr:grpSp>
        <xdr:nvGrpSpPr>
          <xdr:cNvPr id="27" name="Group 26">
            <a:extLst>
              <a:ext uri="{FF2B5EF4-FFF2-40B4-BE49-F238E27FC236}">
                <a16:creationId xmlns:a16="http://schemas.microsoft.com/office/drawing/2014/main" id="{00000000-0008-0000-0300-00001B000000}"/>
              </a:ext>
            </a:extLst>
          </xdr:cNvPr>
          <xdr:cNvGrpSpPr/>
        </xdr:nvGrpSpPr>
        <xdr:grpSpPr>
          <a:xfrm>
            <a:off x="2336244" y="6377940"/>
            <a:ext cx="224793" cy="219551"/>
            <a:chOff x="2333862" y="6389847"/>
            <a:chExt cx="224793" cy="219551"/>
          </a:xfrm>
        </xdr:grpSpPr>
        <xdr:sp macro="" textlink="">
          <xdr:nvSpPr>
            <xdr:cNvPr id="22" name="Isosceles Triangle 21">
              <a:extLst>
                <a:ext uri="{FF2B5EF4-FFF2-40B4-BE49-F238E27FC236}">
                  <a16:creationId xmlns:a16="http://schemas.microsoft.com/office/drawing/2014/main" id="{00000000-0008-0000-0300-000016000000}"/>
                </a:ext>
              </a:extLst>
            </xdr:cNvPr>
            <xdr:cNvSpPr/>
          </xdr:nvSpPr>
          <xdr:spPr>
            <a:xfrm rot="16200000">
              <a:off x="2418042" y="6302096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3" name="Isosceles Triangle 22">
              <a:extLst>
                <a:ext uri="{FF2B5EF4-FFF2-40B4-BE49-F238E27FC236}">
                  <a16:creationId xmlns:a16="http://schemas.microsoft.com/office/drawing/2014/main" id="{00000000-0008-0000-0300-000017000000}"/>
                </a:ext>
              </a:extLst>
            </xdr:cNvPr>
            <xdr:cNvSpPr/>
          </xdr:nvSpPr>
          <xdr:spPr>
            <a:xfrm rot="16200000">
              <a:off x="2421614" y="6359247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4" name="Isosceles Triangle 23">
              <a:extLst>
                <a:ext uri="{FF2B5EF4-FFF2-40B4-BE49-F238E27FC236}">
                  <a16:creationId xmlns:a16="http://schemas.microsoft.com/office/drawing/2014/main" id="{00000000-0008-0000-0300-000018000000}"/>
                </a:ext>
              </a:extLst>
            </xdr:cNvPr>
            <xdr:cNvSpPr/>
          </xdr:nvSpPr>
          <xdr:spPr>
            <a:xfrm rot="16200000">
              <a:off x="2421613" y="6418777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5" name="Isosceles Triangle 24">
              <a:extLst>
                <a:ext uri="{FF2B5EF4-FFF2-40B4-BE49-F238E27FC236}">
                  <a16:creationId xmlns:a16="http://schemas.microsoft.com/office/drawing/2014/main" id="{00000000-0008-0000-0300-000019000000}"/>
                </a:ext>
              </a:extLst>
            </xdr:cNvPr>
            <xdr:cNvSpPr/>
          </xdr:nvSpPr>
          <xdr:spPr>
            <a:xfrm rot="16200000">
              <a:off x="2419232" y="6475928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28" name="Group 27">
            <a:extLst>
              <a:ext uri="{FF2B5EF4-FFF2-40B4-BE49-F238E27FC236}">
                <a16:creationId xmlns:a16="http://schemas.microsoft.com/office/drawing/2014/main" id="{00000000-0008-0000-0300-00001C000000}"/>
              </a:ext>
            </a:extLst>
          </xdr:cNvPr>
          <xdr:cNvGrpSpPr/>
        </xdr:nvGrpSpPr>
        <xdr:grpSpPr>
          <a:xfrm>
            <a:off x="2332671" y="6600589"/>
            <a:ext cx="223603" cy="152875"/>
            <a:chOff x="2332671" y="6600589"/>
            <a:chExt cx="223603" cy="152875"/>
          </a:xfrm>
        </xdr:grpSpPr>
        <xdr:sp macro="" textlink="">
          <xdr:nvSpPr>
            <xdr:cNvPr id="20" name="Isosceles Triangle 19">
              <a:extLst>
                <a:ext uri="{FF2B5EF4-FFF2-40B4-BE49-F238E27FC236}">
                  <a16:creationId xmlns:a16="http://schemas.microsoft.com/office/drawing/2014/main" id="{00000000-0008-0000-0300-000014000000}"/>
                </a:ext>
              </a:extLst>
            </xdr:cNvPr>
            <xdr:cNvSpPr/>
          </xdr:nvSpPr>
          <xdr:spPr>
            <a:xfrm rot="16200000">
              <a:off x="2422804" y="6568797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1" name="Isosceles Triangle 20">
              <a:extLst>
                <a:ext uri="{FF2B5EF4-FFF2-40B4-BE49-F238E27FC236}">
                  <a16:creationId xmlns:a16="http://schemas.microsoft.com/office/drawing/2014/main" id="{00000000-0008-0000-0300-000015000000}"/>
                </a:ext>
              </a:extLst>
            </xdr:cNvPr>
            <xdr:cNvSpPr/>
          </xdr:nvSpPr>
          <xdr:spPr>
            <a:xfrm rot="16200000">
              <a:off x="2420423" y="6619994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6" name="Isosceles Triangle 25">
              <a:extLst>
                <a:ext uri="{FF2B5EF4-FFF2-40B4-BE49-F238E27FC236}">
                  <a16:creationId xmlns:a16="http://schemas.microsoft.com/office/drawing/2014/main" id="{00000000-0008-0000-0300-00001A000000}"/>
                </a:ext>
              </a:extLst>
            </xdr:cNvPr>
            <xdr:cNvSpPr/>
          </xdr:nvSpPr>
          <xdr:spPr>
            <a:xfrm rot="16200000">
              <a:off x="2420422" y="6512838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</xdr:grpSp>
    <xdr:clientData/>
  </xdr:twoCellAnchor>
  <xdr:twoCellAnchor>
    <xdr:from>
      <xdr:col>15</xdr:col>
      <xdr:colOff>57150</xdr:colOff>
      <xdr:row>29</xdr:row>
      <xdr:rowOff>101203</xdr:rowOff>
    </xdr:from>
    <xdr:to>
      <xdr:col>15</xdr:col>
      <xdr:colOff>57150</xdr:colOff>
      <xdr:row>31</xdr:row>
      <xdr:rowOff>28575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CxnSpPr/>
      </xdr:nvCxnSpPr>
      <xdr:spPr>
        <a:xfrm>
          <a:off x="3902869" y="5649516"/>
          <a:ext cx="0" cy="308372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27622</xdr:colOff>
      <xdr:row>32</xdr:row>
      <xdr:rowOff>50960</xdr:rowOff>
    </xdr:from>
    <xdr:to>
      <xdr:col>13</xdr:col>
      <xdr:colOff>123827</xdr:colOff>
      <xdr:row>32</xdr:row>
      <xdr:rowOff>96679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SpPr/>
      </xdr:nvSpPr>
      <xdr:spPr>
        <a:xfrm rot="16200000">
          <a:off x="448748" y="6083022"/>
          <a:ext cx="45719" cy="221221"/>
        </a:xfrm>
        <a:prstGeom prst="triangl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26431</xdr:colOff>
      <xdr:row>31</xdr:row>
      <xdr:rowOff>16431</xdr:rowOff>
    </xdr:from>
    <xdr:to>
      <xdr:col>13</xdr:col>
      <xdr:colOff>127399</xdr:colOff>
      <xdr:row>32</xdr:row>
      <xdr:rowOff>189548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GrpSpPr/>
      </xdr:nvGrpSpPr>
      <xdr:grpSpPr>
        <a:xfrm>
          <a:off x="3144352" y="5781375"/>
          <a:ext cx="229395" cy="352272"/>
          <a:chOff x="359806" y="5945744"/>
          <a:chExt cx="225984" cy="363617"/>
        </a:xfrm>
      </xdr:grpSpPr>
      <xdr:grpSp>
        <xdr:nvGrpSpPr>
          <xdr:cNvPr id="34" name="Group 33">
            <a:extLst>
              <a:ext uri="{FF2B5EF4-FFF2-40B4-BE49-F238E27FC236}">
                <a16:creationId xmlns:a16="http://schemas.microsoft.com/office/drawing/2014/main" id="{00000000-0008-0000-0300-000022000000}"/>
              </a:ext>
            </a:extLst>
          </xdr:cNvPr>
          <xdr:cNvGrpSpPr/>
        </xdr:nvGrpSpPr>
        <xdr:grpSpPr>
          <a:xfrm>
            <a:off x="359806" y="5945744"/>
            <a:ext cx="224793" cy="219551"/>
            <a:chOff x="359806" y="5945744"/>
            <a:chExt cx="224793" cy="219551"/>
          </a:xfrm>
        </xdr:grpSpPr>
        <xdr:sp macro="" textlink="">
          <xdr:nvSpPr>
            <xdr:cNvPr id="38" name="Isosceles Triangle 37">
              <a:extLst>
                <a:ext uri="{FF2B5EF4-FFF2-40B4-BE49-F238E27FC236}">
                  <a16:creationId xmlns:a16="http://schemas.microsoft.com/office/drawing/2014/main" id="{00000000-0008-0000-0300-000026000000}"/>
                </a:ext>
              </a:extLst>
            </xdr:cNvPr>
            <xdr:cNvSpPr/>
          </xdr:nvSpPr>
          <xdr:spPr>
            <a:xfrm rot="16200000">
              <a:off x="449939" y="5857993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39" name="Isosceles Triangle 38">
              <a:extLst>
                <a:ext uri="{FF2B5EF4-FFF2-40B4-BE49-F238E27FC236}">
                  <a16:creationId xmlns:a16="http://schemas.microsoft.com/office/drawing/2014/main" id="{00000000-0008-0000-0300-000027000000}"/>
                </a:ext>
              </a:extLst>
            </xdr:cNvPr>
            <xdr:cNvSpPr/>
          </xdr:nvSpPr>
          <xdr:spPr>
            <a:xfrm rot="16200000">
              <a:off x="447558" y="5915144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40" name="Isosceles Triangle 39">
              <a:extLst>
                <a:ext uri="{FF2B5EF4-FFF2-40B4-BE49-F238E27FC236}">
                  <a16:creationId xmlns:a16="http://schemas.microsoft.com/office/drawing/2014/main" id="{00000000-0008-0000-0300-000028000000}"/>
                </a:ext>
              </a:extLst>
            </xdr:cNvPr>
            <xdr:cNvSpPr/>
          </xdr:nvSpPr>
          <xdr:spPr>
            <a:xfrm rot="16200000">
              <a:off x="447557" y="5974674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41" name="Isosceles Triangle 40">
              <a:extLst>
                <a:ext uri="{FF2B5EF4-FFF2-40B4-BE49-F238E27FC236}">
                  <a16:creationId xmlns:a16="http://schemas.microsoft.com/office/drawing/2014/main" id="{00000000-0008-0000-0300-000029000000}"/>
                </a:ext>
              </a:extLst>
            </xdr:cNvPr>
            <xdr:cNvSpPr/>
          </xdr:nvSpPr>
          <xdr:spPr>
            <a:xfrm rot="16200000">
              <a:off x="451129" y="6031825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35" name="Group 34">
            <a:extLst>
              <a:ext uri="{FF2B5EF4-FFF2-40B4-BE49-F238E27FC236}">
                <a16:creationId xmlns:a16="http://schemas.microsoft.com/office/drawing/2014/main" id="{00000000-0008-0000-0300-000023000000}"/>
              </a:ext>
            </a:extLst>
          </xdr:cNvPr>
          <xdr:cNvGrpSpPr/>
        </xdr:nvGrpSpPr>
        <xdr:grpSpPr>
          <a:xfrm>
            <a:off x="360997" y="6212445"/>
            <a:ext cx="224793" cy="96916"/>
            <a:chOff x="360997" y="6212445"/>
            <a:chExt cx="224793" cy="96916"/>
          </a:xfrm>
        </xdr:grpSpPr>
        <xdr:sp macro="" textlink="">
          <xdr:nvSpPr>
            <xdr:cNvPr id="36" name="Isosceles Triangle 35">
              <a:extLst>
                <a:ext uri="{FF2B5EF4-FFF2-40B4-BE49-F238E27FC236}">
                  <a16:creationId xmlns:a16="http://schemas.microsoft.com/office/drawing/2014/main" id="{00000000-0008-0000-0300-000024000000}"/>
                </a:ext>
              </a:extLst>
            </xdr:cNvPr>
            <xdr:cNvSpPr/>
          </xdr:nvSpPr>
          <xdr:spPr>
            <a:xfrm rot="16200000">
              <a:off x="448748" y="6124694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37" name="Isosceles Triangle 36">
              <a:extLst>
                <a:ext uri="{FF2B5EF4-FFF2-40B4-BE49-F238E27FC236}">
                  <a16:creationId xmlns:a16="http://schemas.microsoft.com/office/drawing/2014/main" id="{00000000-0008-0000-0300-000025000000}"/>
                </a:ext>
              </a:extLst>
            </xdr:cNvPr>
            <xdr:cNvSpPr/>
          </xdr:nvSpPr>
          <xdr:spPr>
            <a:xfrm rot="16200000">
              <a:off x="452320" y="6175891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</xdr:grpSp>
    <xdr:clientData/>
  </xdr:twoCellAnchor>
  <xdr:twoCellAnchor>
    <xdr:from>
      <xdr:col>14</xdr:col>
      <xdr:colOff>628887</xdr:colOff>
      <xdr:row>31</xdr:row>
      <xdr:rowOff>14049</xdr:rowOff>
    </xdr:from>
    <xdr:to>
      <xdr:col>16</xdr:col>
      <xdr:colOff>114303</xdr:colOff>
      <xdr:row>33</xdr:row>
      <xdr:rowOff>8573</xdr:rowOff>
    </xdr:to>
    <xdr:grpSp>
      <xdr:nvGrpSpPr>
        <xdr:cNvPr id="42" name="Group 41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GrpSpPr/>
      </xdr:nvGrpSpPr>
      <xdr:grpSpPr>
        <a:xfrm flipH="1">
          <a:off x="4017932" y="5778993"/>
          <a:ext cx="291652" cy="365535"/>
          <a:chOff x="2332671" y="6377940"/>
          <a:chExt cx="228366" cy="375524"/>
        </a:xfrm>
      </xdr:grpSpPr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00000000-0008-0000-0300-00002B000000}"/>
              </a:ext>
            </a:extLst>
          </xdr:cNvPr>
          <xdr:cNvGrpSpPr/>
        </xdr:nvGrpSpPr>
        <xdr:grpSpPr>
          <a:xfrm>
            <a:off x="2336244" y="6377940"/>
            <a:ext cx="224793" cy="219551"/>
            <a:chOff x="2333862" y="6389847"/>
            <a:chExt cx="224793" cy="219551"/>
          </a:xfrm>
        </xdr:grpSpPr>
        <xdr:sp macro="" textlink="">
          <xdr:nvSpPr>
            <xdr:cNvPr id="48" name="Isosceles Triangle 47">
              <a:extLst>
                <a:ext uri="{FF2B5EF4-FFF2-40B4-BE49-F238E27FC236}">
                  <a16:creationId xmlns:a16="http://schemas.microsoft.com/office/drawing/2014/main" id="{00000000-0008-0000-0300-000030000000}"/>
                </a:ext>
              </a:extLst>
            </xdr:cNvPr>
            <xdr:cNvSpPr/>
          </xdr:nvSpPr>
          <xdr:spPr>
            <a:xfrm rot="16200000">
              <a:off x="2418042" y="6302096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49" name="Isosceles Triangle 48">
              <a:extLst>
                <a:ext uri="{FF2B5EF4-FFF2-40B4-BE49-F238E27FC236}">
                  <a16:creationId xmlns:a16="http://schemas.microsoft.com/office/drawing/2014/main" id="{00000000-0008-0000-0300-000031000000}"/>
                </a:ext>
              </a:extLst>
            </xdr:cNvPr>
            <xdr:cNvSpPr/>
          </xdr:nvSpPr>
          <xdr:spPr>
            <a:xfrm rot="16200000">
              <a:off x="2421614" y="6359247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50" name="Isosceles Triangle 49">
              <a:extLst>
                <a:ext uri="{FF2B5EF4-FFF2-40B4-BE49-F238E27FC236}">
                  <a16:creationId xmlns:a16="http://schemas.microsoft.com/office/drawing/2014/main" id="{00000000-0008-0000-0300-000032000000}"/>
                </a:ext>
              </a:extLst>
            </xdr:cNvPr>
            <xdr:cNvSpPr/>
          </xdr:nvSpPr>
          <xdr:spPr>
            <a:xfrm rot="16200000">
              <a:off x="2421613" y="6418777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51" name="Isosceles Triangle 50">
              <a:extLst>
                <a:ext uri="{FF2B5EF4-FFF2-40B4-BE49-F238E27FC236}">
                  <a16:creationId xmlns:a16="http://schemas.microsoft.com/office/drawing/2014/main" id="{00000000-0008-0000-0300-000033000000}"/>
                </a:ext>
              </a:extLst>
            </xdr:cNvPr>
            <xdr:cNvSpPr/>
          </xdr:nvSpPr>
          <xdr:spPr>
            <a:xfrm rot="16200000">
              <a:off x="2419232" y="6475928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00000000-0008-0000-0300-00002C000000}"/>
              </a:ext>
            </a:extLst>
          </xdr:cNvPr>
          <xdr:cNvGrpSpPr/>
        </xdr:nvGrpSpPr>
        <xdr:grpSpPr>
          <a:xfrm>
            <a:off x="2332671" y="6600589"/>
            <a:ext cx="223603" cy="152875"/>
            <a:chOff x="2332671" y="6600589"/>
            <a:chExt cx="223603" cy="152875"/>
          </a:xfrm>
        </xdr:grpSpPr>
        <xdr:sp macro="" textlink="">
          <xdr:nvSpPr>
            <xdr:cNvPr id="45" name="Isosceles Triangle 44">
              <a:extLst>
                <a:ext uri="{FF2B5EF4-FFF2-40B4-BE49-F238E27FC236}">
                  <a16:creationId xmlns:a16="http://schemas.microsoft.com/office/drawing/2014/main" id="{00000000-0008-0000-0300-00002D000000}"/>
                </a:ext>
              </a:extLst>
            </xdr:cNvPr>
            <xdr:cNvSpPr/>
          </xdr:nvSpPr>
          <xdr:spPr>
            <a:xfrm rot="16200000">
              <a:off x="2422804" y="6568797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46" name="Isosceles Triangle 45">
              <a:extLst>
                <a:ext uri="{FF2B5EF4-FFF2-40B4-BE49-F238E27FC236}">
                  <a16:creationId xmlns:a16="http://schemas.microsoft.com/office/drawing/2014/main" id="{00000000-0008-0000-0300-00002E000000}"/>
                </a:ext>
              </a:extLst>
            </xdr:cNvPr>
            <xdr:cNvSpPr/>
          </xdr:nvSpPr>
          <xdr:spPr>
            <a:xfrm rot="16200000">
              <a:off x="2420423" y="6619994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47" name="Isosceles Triangle 46">
              <a:extLst>
                <a:ext uri="{FF2B5EF4-FFF2-40B4-BE49-F238E27FC236}">
                  <a16:creationId xmlns:a16="http://schemas.microsoft.com/office/drawing/2014/main" id="{00000000-0008-0000-0300-00002F000000}"/>
                </a:ext>
              </a:extLst>
            </xdr:cNvPr>
            <xdr:cNvSpPr/>
          </xdr:nvSpPr>
          <xdr:spPr>
            <a:xfrm rot="16200000">
              <a:off x="2420422" y="6512838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</xdr:grpSp>
    <xdr:clientData/>
  </xdr:twoCellAnchor>
  <xdr:twoCellAnchor>
    <xdr:from>
      <xdr:col>14</xdr:col>
      <xdr:colOff>41669</xdr:colOff>
      <xdr:row>29</xdr:row>
      <xdr:rowOff>11907</xdr:rowOff>
    </xdr:from>
    <xdr:to>
      <xdr:col>14</xdr:col>
      <xdr:colOff>613170</xdr:colOff>
      <xdr:row>29</xdr:row>
      <xdr:rowOff>184546</xdr:rowOff>
    </xdr:to>
    <xdr:sp macro="" textlink="">
      <xdr:nvSpPr>
        <xdr:cNvPr id="52" name="Flowchart: Collate 51"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SpPr/>
      </xdr:nvSpPr>
      <xdr:spPr>
        <a:xfrm>
          <a:off x="3256357" y="5560220"/>
          <a:ext cx="571501" cy="172639"/>
        </a:xfrm>
        <a:prstGeom prst="flowChartCollate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60722</xdr:colOff>
      <xdr:row>27</xdr:row>
      <xdr:rowOff>178593</xdr:rowOff>
    </xdr:from>
    <xdr:to>
      <xdr:col>15</xdr:col>
      <xdr:colOff>60722</xdr:colOff>
      <xdr:row>29</xdr:row>
      <xdr:rowOff>8334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CxnSpPr/>
      </xdr:nvCxnSpPr>
      <xdr:spPr>
        <a:xfrm>
          <a:off x="3906441" y="5345906"/>
          <a:ext cx="0" cy="21074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50006</xdr:colOff>
      <xdr:row>29</xdr:row>
      <xdr:rowOff>186928</xdr:rowOff>
    </xdr:from>
    <xdr:to>
      <xdr:col>14</xdr:col>
      <xdr:colOff>50006</xdr:colOff>
      <xdr:row>32</xdr:row>
      <xdr:rowOff>5953</xdr:rowOff>
    </xdr:to>
    <xdr:cxnSp macro="">
      <xdr:nvCxnSpPr>
        <xdr:cNvPr id="56" name="Straight Arrow Connector 55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CxnSpPr/>
      </xdr:nvCxnSpPr>
      <xdr:spPr>
        <a:xfrm>
          <a:off x="3264694" y="5735241"/>
          <a:ext cx="0" cy="3905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57150</xdr:colOff>
      <xdr:row>28</xdr:row>
      <xdr:rowOff>95249</xdr:rowOff>
    </xdr:from>
    <xdr:to>
      <xdr:col>25</xdr:col>
      <xdr:colOff>57150</xdr:colOff>
      <xdr:row>31</xdr:row>
      <xdr:rowOff>28575</xdr:rowOff>
    </xdr:to>
    <xdr:cxnSp macro="">
      <xdr:nvCxnSpPr>
        <xdr:cNvPr id="57" name="Straight Arrow Connector 56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CxnSpPr/>
      </xdr:nvCxnSpPr>
      <xdr:spPr>
        <a:xfrm>
          <a:off x="6528197" y="5453062"/>
          <a:ext cx="0" cy="504826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27622</xdr:colOff>
      <xdr:row>32</xdr:row>
      <xdr:rowOff>50960</xdr:rowOff>
    </xdr:from>
    <xdr:to>
      <xdr:col>23</xdr:col>
      <xdr:colOff>123827</xdr:colOff>
      <xdr:row>32</xdr:row>
      <xdr:rowOff>96679</xdr:rowOff>
    </xdr:to>
    <xdr:sp macro="" textlink="">
      <xdr:nvSpPr>
        <xdr:cNvPr id="58" name="Isosceles Triangle 57"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SpPr/>
      </xdr:nvSpPr>
      <xdr:spPr>
        <a:xfrm rot="16200000">
          <a:off x="3074076" y="6083022"/>
          <a:ext cx="45719" cy="221221"/>
        </a:xfrm>
        <a:prstGeom prst="triangl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26431</xdr:colOff>
      <xdr:row>31</xdr:row>
      <xdr:rowOff>16431</xdr:rowOff>
    </xdr:from>
    <xdr:to>
      <xdr:col>23</xdr:col>
      <xdr:colOff>127399</xdr:colOff>
      <xdr:row>32</xdr:row>
      <xdr:rowOff>189548</xdr:rowOff>
    </xdr:to>
    <xdr:grpSp>
      <xdr:nvGrpSpPr>
        <xdr:cNvPr id="59" name="Group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GrpSpPr/>
      </xdr:nvGrpSpPr>
      <xdr:grpSpPr>
        <a:xfrm>
          <a:off x="5912667" y="5781375"/>
          <a:ext cx="229395" cy="352272"/>
          <a:chOff x="359806" y="5945744"/>
          <a:chExt cx="225984" cy="363617"/>
        </a:xfrm>
      </xdr:grpSpPr>
      <xdr:grpSp>
        <xdr:nvGrpSpPr>
          <xdr:cNvPr id="60" name="Group 59">
            <a:extLst>
              <a:ext uri="{FF2B5EF4-FFF2-40B4-BE49-F238E27FC236}">
                <a16:creationId xmlns:a16="http://schemas.microsoft.com/office/drawing/2014/main" id="{00000000-0008-0000-0300-00003C000000}"/>
              </a:ext>
            </a:extLst>
          </xdr:cNvPr>
          <xdr:cNvGrpSpPr/>
        </xdr:nvGrpSpPr>
        <xdr:grpSpPr>
          <a:xfrm>
            <a:off x="359806" y="5945744"/>
            <a:ext cx="224793" cy="219551"/>
            <a:chOff x="359806" y="5945744"/>
            <a:chExt cx="224793" cy="219551"/>
          </a:xfrm>
        </xdr:grpSpPr>
        <xdr:sp macro="" textlink="">
          <xdr:nvSpPr>
            <xdr:cNvPr id="64" name="Isosceles Triangle 63">
              <a:extLst>
                <a:ext uri="{FF2B5EF4-FFF2-40B4-BE49-F238E27FC236}">
                  <a16:creationId xmlns:a16="http://schemas.microsoft.com/office/drawing/2014/main" id="{00000000-0008-0000-0300-000040000000}"/>
                </a:ext>
              </a:extLst>
            </xdr:cNvPr>
            <xdr:cNvSpPr/>
          </xdr:nvSpPr>
          <xdr:spPr>
            <a:xfrm rot="16200000">
              <a:off x="449939" y="5857993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65" name="Isosceles Triangle 64">
              <a:extLst>
                <a:ext uri="{FF2B5EF4-FFF2-40B4-BE49-F238E27FC236}">
                  <a16:creationId xmlns:a16="http://schemas.microsoft.com/office/drawing/2014/main" id="{00000000-0008-0000-0300-000041000000}"/>
                </a:ext>
              </a:extLst>
            </xdr:cNvPr>
            <xdr:cNvSpPr/>
          </xdr:nvSpPr>
          <xdr:spPr>
            <a:xfrm rot="16200000">
              <a:off x="447558" y="5915144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66" name="Isosceles Triangle 65">
              <a:extLst>
                <a:ext uri="{FF2B5EF4-FFF2-40B4-BE49-F238E27FC236}">
                  <a16:creationId xmlns:a16="http://schemas.microsoft.com/office/drawing/2014/main" id="{00000000-0008-0000-0300-000042000000}"/>
                </a:ext>
              </a:extLst>
            </xdr:cNvPr>
            <xdr:cNvSpPr/>
          </xdr:nvSpPr>
          <xdr:spPr>
            <a:xfrm rot="16200000">
              <a:off x="447557" y="5974674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67" name="Isosceles Triangle 66">
              <a:extLst>
                <a:ext uri="{FF2B5EF4-FFF2-40B4-BE49-F238E27FC236}">
                  <a16:creationId xmlns:a16="http://schemas.microsoft.com/office/drawing/2014/main" id="{00000000-0008-0000-0300-000043000000}"/>
                </a:ext>
              </a:extLst>
            </xdr:cNvPr>
            <xdr:cNvSpPr/>
          </xdr:nvSpPr>
          <xdr:spPr>
            <a:xfrm rot="16200000">
              <a:off x="451129" y="6031825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61" name="Group 60">
            <a:extLst>
              <a:ext uri="{FF2B5EF4-FFF2-40B4-BE49-F238E27FC236}">
                <a16:creationId xmlns:a16="http://schemas.microsoft.com/office/drawing/2014/main" id="{00000000-0008-0000-0300-00003D000000}"/>
              </a:ext>
            </a:extLst>
          </xdr:cNvPr>
          <xdr:cNvGrpSpPr/>
        </xdr:nvGrpSpPr>
        <xdr:grpSpPr>
          <a:xfrm>
            <a:off x="360997" y="6212445"/>
            <a:ext cx="224793" cy="96916"/>
            <a:chOff x="360997" y="6212445"/>
            <a:chExt cx="224793" cy="96916"/>
          </a:xfrm>
        </xdr:grpSpPr>
        <xdr:sp macro="" textlink="">
          <xdr:nvSpPr>
            <xdr:cNvPr id="62" name="Isosceles Triangle 61">
              <a:extLst>
                <a:ext uri="{FF2B5EF4-FFF2-40B4-BE49-F238E27FC236}">
                  <a16:creationId xmlns:a16="http://schemas.microsoft.com/office/drawing/2014/main" id="{00000000-0008-0000-0300-00003E000000}"/>
                </a:ext>
              </a:extLst>
            </xdr:cNvPr>
            <xdr:cNvSpPr/>
          </xdr:nvSpPr>
          <xdr:spPr>
            <a:xfrm rot="16200000">
              <a:off x="448748" y="6124694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63" name="Isosceles Triangle 62">
              <a:extLst>
                <a:ext uri="{FF2B5EF4-FFF2-40B4-BE49-F238E27FC236}">
                  <a16:creationId xmlns:a16="http://schemas.microsoft.com/office/drawing/2014/main" id="{00000000-0008-0000-0300-00003F000000}"/>
                </a:ext>
              </a:extLst>
            </xdr:cNvPr>
            <xdr:cNvSpPr/>
          </xdr:nvSpPr>
          <xdr:spPr>
            <a:xfrm rot="16200000">
              <a:off x="452320" y="6175891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</xdr:grpSp>
    <xdr:clientData/>
  </xdr:twoCellAnchor>
  <xdr:twoCellAnchor>
    <xdr:from>
      <xdr:col>24</xdr:col>
      <xdr:colOff>628887</xdr:colOff>
      <xdr:row>31</xdr:row>
      <xdr:rowOff>14049</xdr:rowOff>
    </xdr:from>
    <xdr:to>
      <xdr:col>26</xdr:col>
      <xdr:colOff>114303</xdr:colOff>
      <xdr:row>33</xdr:row>
      <xdr:rowOff>8573</xdr:rowOff>
    </xdr:to>
    <xdr:grpSp>
      <xdr:nvGrpSpPr>
        <xdr:cNvPr id="68" name="Group 67">
          <a:extLst>
            <a:ext uri="{FF2B5EF4-FFF2-40B4-BE49-F238E27FC236}">
              <a16:creationId xmlns:a16="http://schemas.microsoft.com/office/drawing/2014/main" id="{00000000-0008-0000-0300-000044000000}"/>
            </a:ext>
          </a:extLst>
        </xdr:cNvPr>
        <xdr:cNvGrpSpPr/>
      </xdr:nvGrpSpPr>
      <xdr:grpSpPr>
        <a:xfrm flipH="1">
          <a:off x="6786247" y="5778993"/>
          <a:ext cx="291652" cy="365535"/>
          <a:chOff x="2332671" y="6377940"/>
          <a:chExt cx="228366" cy="375524"/>
        </a:xfrm>
      </xdr:grpSpPr>
      <xdr:grpSp>
        <xdr:nvGrpSpPr>
          <xdr:cNvPr id="69" name="Group 68">
            <a:extLst>
              <a:ext uri="{FF2B5EF4-FFF2-40B4-BE49-F238E27FC236}">
                <a16:creationId xmlns:a16="http://schemas.microsoft.com/office/drawing/2014/main" id="{00000000-0008-0000-0300-000045000000}"/>
              </a:ext>
            </a:extLst>
          </xdr:cNvPr>
          <xdr:cNvGrpSpPr/>
        </xdr:nvGrpSpPr>
        <xdr:grpSpPr>
          <a:xfrm>
            <a:off x="2336244" y="6377940"/>
            <a:ext cx="224793" cy="219551"/>
            <a:chOff x="2333862" y="6389847"/>
            <a:chExt cx="224793" cy="219551"/>
          </a:xfrm>
        </xdr:grpSpPr>
        <xdr:sp macro="" textlink="">
          <xdr:nvSpPr>
            <xdr:cNvPr id="74" name="Isosceles Triangle 73">
              <a:extLst>
                <a:ext uri="{FF2B5EF4-FFF2-40B4-BE49-F238E27FC236}">
                  <a16:creationId xmlns:a16="http://schemas.microsoft.com/office/drawing/2014/main" id="{00000000-0008-0000-0300-00004A000000}"/>
                </a:ext>
              </a:extLst>
            </xdr:cNvPr>
            <xdr:cNvSpPr/>
          </xdr:nvSpPr>
          <xdr:spPr>
            <a:xfrm rot="16200000">
              <a:off x="2418042" y="6302096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75" name="Isosceles Triangle 74">
              <a:extLst>
                <a:ext uri="{FF2B5EF4-FFF2-40B4-BE49-F238E27FC236}">
                  <a16:creationId xmlns:a16="http://schemas.microsoft.com/office/drawing/2014/main" id="{00000000-0008-0000-0300-00004B000000}"/>
                </a:ext>
              </a:extLst>
            </xdr:cNvPr>
            <xdr:cNvSpPr/>
          </xdr:nvSpPr>
          <xdr:spPr>
            <a:xfrm rot="16200000">
              <a:off x="2421614" y="6359247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76" name="Isosceles Triangle 75">
              <a:extLst>
                <a:ext uri="{FF2B5EF4-FFF2-40B4-BE49-F238E27FC236}">
                  <a16:creationId xmlns:a16="http://schemas.microsoft.com/office/drawing/2014/main" id="{00000000-0008-0000-0300-00004C000000}"/>
                </a:ext>
              </a:extLst>
            </xdr:cNvPr>
            <xdr:cNvSpPr/>
          </xdr:nvSpPr>
          <xdr:spPr>
            <a:xfrm rot="16200000">
              <a:off x="2421613" y="6418777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77" name="Isosceles Triangle 76">
              <a:extLst>
                <a:ext uri="{FF2B5EF4-FFF2-40B4-BE49-F238E27FC236}">
                  <a16:creationId xmlns:a16="http://schemas.microsoft.com/office/drawing/2014/main" id="{00000000-0008-0000-0300-00004D000000}"/>
                </a:ext>
              </a:extLst>
            </xdr:cNvPr>
            <xdr:cNvSpPr/>
          </xdr:nvSpPr>
          <xdr:spPr>
            <a:xfrm rot="16200000">
              <a:off x="2419232" y="6475928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70" name="Group 69">
            <a:extLst>
              <a:ext uri="{FF2B5EF4-FFF2-40B4-BE49-F238E27FC236}">
                <a16:creationId xmlns:a16="http://schemas.microsoft.com/office/drawing/2014/main" id="{00000000-0008-0000-0300-000046000000}"/>
              </a:ext>
            </a:extLst>
          </xdr:cNvPr>
          <xdr:cNvGrpSpPr/>
        </xdr:nvGrpSpPr>
        <xdr:grpSpPr>
          <a:xfrm>
            <a:off x="2332671" y="6600589"/>
            <a:ext cx="223603" cy="152875"/>
            <a:chOff x="2332671" y="6600589"/>
            <a:chExt cx="223603" cy="152875"/>
          </a:xfrm>
        </xdr:grpSpPr>
        <xdr:sp macro="" textlink="">
          <xdr:nvSpPr>
            <xdr:cNvPr id="71" name="Isosceles Triangle 70">
              <a:extLst>
                <a:ext uri="{FF2B5EF4-FFF2-40B4-BE49-F238E27FC236}">
                  <a16:creationId xmlns:a16="http://schemas.microsoft.com/office/drawing/2014/main" id="{00000000-0008-0000-0300-000047000000}"/>
                </a:ext>
              </a:extLst>
            </xdr:cNvPr>
            <xdr:cNvSpPr/>
          </xdr:nvSpPr>
          <xdr:spPr>
            <a:xfrm rot="16200000">
              <a:off x="2422804" y="6568797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72" name="Isosceles Triangle 71">
              <a:extLst>
                <a:ext uri="{FF2B5EF4-FFF2-40B4-BE49-F238E27FC236}">
                  <a16:creationId xmlns:a16="http://schemas.microsoft.com/office/drawing/2014/main" id="{00000000-0008-0000-0300-000048000000}"/>
                </a:ext>
              </a:extLst>
            </xdr:cNvPr>
            <xdr:cNvSpPr/>
          </xdr:nvSpPr>
          <xdr:spPr>
            <a:xfrm rot="16200000">
              <a:off x="2420423" y="6619994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73" name="Isosceles Triangle 72">
              <a:extLst>
                <a:ext uri="{FF2B5EF4-FFF2-40B4-BE49-F238E27FC236}">
                  <a16:creationId xmlns:a16="http://schemas.microsoft.com/office/drawing/2014/main" id="{00000000-0008-0000-0300-000049000000}"/>
                </a:ext>
              </a:extLst>
            </xdr:cNvPr>
            <xdr:cNvSpPr/>
          </xdr:nvSpPr>
          <xdr:spPr>
            <a:xfrm rot="16200000">
              <a:off x="2420422" y="6512838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</xdr:grpSp>
    <xdr:clientData/>
  </xdr:twoCellAnchor>
  <xdr:twoCellAnchor>
    <xdr:from>
      <xdr:col>24</xdr:col>
      <xdr:colOff>41669</xdr:colOff>
      <xdr:row>28</xdr:row>
      <xdr:rowOff>11907</xdr:rowOff>
    </xdr:from>
    <xdr:to>
      <xdr:col>24</xdr:col>
      <xdr:colOff>613170</xdr:colOff>
      <xdr:row>28</xdr:row>
      <xdr:rowOff>184546</xdr:rowOff>
    </xdr:to>
    <xdr:sp macro="" textlink="">
      <xdr:nvSpPr>
        <xdr:cNvPr id="78" name="Flowchart: Collate 77">
          <a:extLst>
            <a:ext uri="{FF2B5EF4-FFF2-40B4-BE49-F238E27FC236}">
              <a16:creationId xmlns:a16="http://schemas.microsoft.com/office/drawing/2014/main" id="{00000000-0008-0000-0300-00004E000000}"/>
            </a:ext>
          </a:extLst>
        </xdr:cNvPr>
        <xdr:cNvSpPr/>
      </xdr:nvSpPr>
      <xdr:spPr>
        <a:xfrm>
          <a:off x="5881685" y="5369720"/>
          <a:ext cx="571501" cy="172639"/>
        </a:xfrm>
        <a:prstGeom prst="flowChartCollate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25</xdr:col>
      <xdr:colOff>66675</xdr:colOff>
      <xdr:row>26</xdr:row>
      <xdr:rowOff>172640</xdr:rowOff>
    </xdr:from>
    <xdr:to>
      <xdr:col>25</xdr:col>
      <xdr:colOff>66675</xdr:colOff>
      <xdr:row>28</xdr:row>
      <xdr:rowOff>2381</xdr:rowOff>
    </xdr:to>
    <xdr:cxnSp macro="">
      <xdr:nvCxnSpPr>
        <xdr:cNvPr id="79" name="Straight Arrow Connector 78">
          <a:extLst>
            <a:ext uri="{FF2B5EF4-FFF2-40B4-BE49-F238E27FC236}">
              <a16:creationId xmlns:a16="http://schemas.microsoft.com/office/drawing/2014/main" id="{00000000-0008-0000-0300-00004F000000}"/>
            </a:ext>
          </a:extLst>
        </xdr:cNvPr>
        <xdr:cNvCxnSpPr/>
      </xdr:nvCxnSpPr>
      <xdr:spPr>
        <a:xfrm>
          <a:off x="6537722" y="5149453"/>
          <a:ext cx="0" cy="21074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57150</xdr:colOff>
      <xdr:row>28</xdr:row>
      <xdr:rowOff>178593</xdr:rowOff>
    </xdr:from>
    <xdr:to>
      <xdr:col>35</xdr:col>
      <xdr:colOff>57150</xdr:colOff>
      <xdr:row>31</xdr:row>
      <xdr:rowOff>28575</xdr:rowOff>
    </xdr:to>
    <xdr:cxnSp macro="">
      <xdr:nvCxnSpPr>
        <xdr:cNvPr id="82" name="Straight Arrow Connector 81">
          <a:extLst>
            <a:ext uri="{FF2B5EF4-FFF2-40B4-BE49-F238E27FC236}">
              <a16:creationId xmlns:a16="http://schemas.microsoft.com/office/drawing/2014/main" id="{00000000-0008-0000-0300-000052000000}"/>
            </a:ext>
          </a:extLst>
        </xdr:cNvPr>
        <xdr:cNvCxnSpPr/>
      </xdr:nvCxnSpPr>
      <xdr:spPr>
        <a:xfrm>
          <a:off x="9153525" y="5536406"/>
          <a:ext cx="0" cy="421482"/>
        </a:xfrm>
        <a:prstGeom prst="straightConnector1">
          <a:avLst/>
        </a:prstGeom>
        <a:ln>
          <a:solidFill>
            <a:srgbClr val="FFFF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27622</xdr:colOff>
      <xdr:row>32</xdr:row>
      <xdr:rowOff>50960</xdr:rowOff>
    </xdr:from>
    <xdr:to>
      <xdr:col>33</xdr:col>
      <xdr:colOff>123827</xdr:colOff>
      <xdr:row>32</xdr:row>
      <xdr:rowOff>96679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00000000-0008-0000-0300-000053000000}"/>
            </a:ext>
          </a:extLst>
        </xdr:cNvPr>
        <xdr:cNvSpPr/>
      </xdr:nvSpPr>
      <xdr:spPr>
        <a:xfrm rot="16200000">
          <a:off x="5699404" y="6083022"/>
          <a:ext cx="45719" cy="221221"/>
        </a:xfrm>
        <a:prstGeom prst="triangl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26431</xdr:colOff>
      <xdr:row>31</xdr:row>
      <xdr:rowOff>16431</xdr:rowOff>
    </xdr:from>
    <xdr:to>
      <xdr:col>33</xdr:col>
      <xdr:colOff>127399</xdr:colOff>
      <xdr:row>32</xdr:row>
      <xdr:rowOff>189548</xdr:rowOff>
    </xdr:to>
    <xdr:grpSp>
      <xdr:nvGrpSpPr>
        <xdr:cNvPr id="84" name="Group 83">
          <a:extLst>
            <a:ext uri="{FF2B5EF4-FFF2-40B4-BE49-F238E27FC236}">
              <a16:creationId xmlns:a16="http://schemas.microsoft.com/office/drawing/2014/main" id="{00000000-0008-0000-0300-000054000000}"/>
            </a:ext>
          </a:extLst>
        </xdr:cNvPr>
        <xdr:cNvGrpSpPr/>
      </xdr:nvGrpSpPr>
      <xdr:grpSpPr>
        <a:xfrm>
          <a:off x="8680982" y="5781375"/>
          <a:ext cx="229395" cy="352272"/>
          <a:chOff x="359806" y="5945744"/>
          <a:chExt cx="225984" cy="363617"/>
        </a:xfrm>
      </xdr:grpSpPr>
      <xdr:grpSp>
        <xdr:nvGrpSpPr>
          <xdr:cNvPr id="85" name="Group 84">
            <a:extLst>
              <a:ext uri="{FF2B5EF4-FFF2-40B4-BE49-F238E27FC236}">
                <a16:creationId xmlns:a16="http://schemas.microsoft.com/office/drawing/2014/main" id="{00000000-0008-0000-0300-000055000000}"/>
              </a:ext>
            </a:extLst>
          </xdr:cNvPr>
          <xdr:cNvGrpSpPr/>
        </xdr:nvGrpSpPr>
        <xdr:grpSpPr>
          <a:xfrm>
            <a:off x="359806" y="5945744"/>
            <a:ext cx="224793" cy="219551"/>
            <a:chOff x="359806" y="5945744"/>
            <a:chExt cx="224793" cy="219551"/>
          </a:xfrm>
        </xdr:grpSpPr>
        <xdr:sp macro="" textlink="">
          <xdr:nvSpPr>
            <xdr:cNvPr id="89" name="Isosceles Triangle 88">
              <a:extLst>
                <a:ext uri="{FF2B5EF4-FFF2-40B4-BE49-F238E27FC236}">
                  <a16:creationId xmlns:a16="http://schemas.microsoft.com/office/drawing/2014/main" id="{00000000-0008-0000-0300-000059000000}"/>
                </a:ext>
              </a:extLst>
            </xdr:cNvPr>
            <xdr:cNvSpPr/>
          </xdr:nvSpPr>
          <xdr:spPr>
            <a:xfrm rot="16200000">
              <a:off x="449939" y="5857993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90" name="Isosceles Triangle 89">
              <a:extLst>
                <a:ext uri="{FF2B5EF4-FFF2-40B4-BE49-F238E27FC236}">
                  <a16:creationId xmlns:a16="http://schemas.microsoft.com/office/drawing/2014/main" id="{00000000-0008-0000-0300-00005A000000}"/>
                </a:ext>
              </a:extLst>
            </xdr:cNvPr>
            <xdr:cNvSpPr/>
          </xdr:nvSpPr>
          <xdr:spPr>
            <a:xfrm rot="16200000">
              <a:off x="447558" y="5915144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91" name="Isosceles Triangle 90">
              <a:extLst>
                <a:ext uri="{FF2B5EF4-FFF2-40B4-BE49-F238E27FC236}">
                  <a16:creationId xmlns:a16="http://schemas.microsoft.com/office/drawing/2014/main" id="{00000000-0008-0000-0300-00005B000000}"/>
                </a:ext>
              </a:extLst>
            </xdr:cNvPr>
            <xdr:cNvSpPr/>
          </xdr:nvSpPr>
          <xdr:spPr>
            <a:xfrm rot="16200000">
              <a:off x="447557" y="5974674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92" name="Isosceles Triangle 91">
              <a:extLst>
                <a:ext uri="{FF2B5EF4-FFF2-40B4-BE49-F238E27FC236}">
                  <a16:creationId xmlns:a16="http://schemas.microsoft.com/office/drawing/2014/main" id="{00000000-0008-0000-0300-00005C000000}"/>
                </a:ext>
              </a:extLst>
            </xdr:cNvPr>
            <xdr:cNvSpPr/>
          </xdr:nvSpPr>
          <xdr:spPr>
            <a:xfrm rot="16200000">
              <a:off x="451129" y="6031825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86" name="Group 85">
            <a:extLst>
              <a:ext uri="{FF2B5EF4-FFF2-40B4-BE49-F238E27FC236}">
                <a16:creationId xmlns:a16="http://schemas.microsoft.com/office/drawing/2014/main" id="{00000000-0008-0000-0300-000056000000}"/>
              </a:ext>
            </a:extLst>
          </xdr:cNvPr>
          <xdr:cNvGrpSpPr/>
        </xdr:nvGrpSpPr>
        <xdr:grpSpPr>
          <a:xfrm>
            <a:off x="360997" y="6212445"/>
            <a:ext cx="224793" cy="96916"/>
            <a:chOff x="360997" y="6212445"/>
            <a:chExt cx="224793" cy="96916"/>
          </a:xfrm>
        </xdr:grpSpPr>
        <xdr:sp macro="" textlink="">
          <xdr:nvSpPr>
            <xdr:cNvPr id="87" name="Isosceles Triangle 86">
              <a:extLst>
                <a:ext uri="{FF2B5EF4-FFF2-40B4-BE49-F238E27FC236}">
                  <a16:creationId xmlns:a16="http://schemas.microsoft.com/office/drawing/2014/main" id="{00000000-0008-0000-0300-000057000000}"/>
                </a:ext>
              </a:extLst>
            </xdr:cNvPr>
            <xdr:cNvSpPr/>
          </xdr:nvSpPr>
          <xdr:spPr>
            <a:xfrm rot="16200000">
              <a:off x="448748" y="6124694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88" name="Isosceles Triangle 87">
              <a:extLst>
                <a:ext uri="{FF2B5EF4-FFF2-40B4-BE49-F238E27FC236}">
                  <a16:creationId xmlns:a16="http://schemas.microsoft.com/office/drawing/2014/main" id="{00000000-0008-0000-0300-000058000000}"/>
                </a:ext>
              </a:extLst>
            </xdr:cNvPr>
            <xdr:cNvSpPr/>
          </xdr:nvSpPr>
          <xdr:spPr>
            <a:xfrm rot="16200000">
              <a:off x="452320" y="6175891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</xdr:grpSp>
    <xdr:clientData/>
  </xdr:twoCellAnchor>
  <xdr:twoCellAnchor>
    <xdr:from>
      <xdr:col>35</xdr:col>
      <xdr:colOff>2618</xdr:colOff>
      <xdr:row>31</xdr:row>
      <xdr:rowOff>14049</xdr:rowOff>
    </xdr:from>
    <xdr:to>
      <xdr:col>36</xdr:col>
      <xdr:colOff>114303</xdr:colOff>
      <xdr:row>33</xdr:row>
      <xdr:rowOff>8573</xdr:rowOff>
    </xdr:to>
    <xdr:grpSp>
      <xdr:nvGrpSpPr>
        <xdr:cNvPr id="93" name="Group 92">
          <a:extLst>
            <a:ext uri="{FF2B5EF4-FFF2-40B4-BE49-F238E27FC236}">
              <a16:creationId xmlns:a16="http://schemas.microsoft.com/office/drawing/2014/main" id="{00000000-0008-0000-0300-00005D000000}"/>
            </a:ext>
          </a:extLst>
        </xdr:cNvPr>
        <xdr:cNvGrpSpPr/>
      </xdr:nvGrpSpPr>
      <xdr:grpSpPr>
        <a:xfrm flipH="1">
          <a:off x="9591831" y="5778993"/>
          <a:ext cx="254382" cy="365535"/>
          <a:chOff x="2332671" y="6377940"/>
          <a:chExt cx="228366" cy="375524"/>
        </a:xfrm>
      </xdr:grpSpPr>
      <xdr:grpSp>
        <xdr:nvGrpSpPr>
          <xdr:cNvPr id="94" name="Group 93">
            <a:extLst>
              <a:ext uri="{FF2B5EF4-FFF2-40B4-BE49-F238E27FC236}">
                <a16:creationId xmlns:a16="http://schemas.microsoft.com/office/drawing/2014/main" id="{00000000-0008-0000-0300-00005E000000}"/>
              </a:ext>
            </a:extLst>
          </xdr:cNvPr>
          <xdr:cNvGrpSpPr/>
        </xdr:nvGrpSpPr>
        <xdr:grpSpPr>
          <a:xfrm>
            <a:off x="2336244" y="6377940"/>
            <a:ext cx="224793" cy="219551"/>
            <a:chOff x="2333862" y="6389847"/>
            <a:chExt cx="224793" cy="219551"/>
          </a:xfrm>
        </xdr:grpSpPr>
        <xdr:sp macro="" textlink="">
          <xdr:nvSpPr>
            <xdr:cNvPr id="99" name="Isosceles Triangle 98">
              <a:extLst>
                <a:ext uri="{FF2B5EF4-FFF2-40B4-BE49-F238E27FC236}">
                  <a16:creationId xmlns:a16="http://schemas.microsoft.com/office/drawing/2014/main" id="{00000000-0008-0000-0300-000063000000}"/>
                </a:ext>
              </a:extLst>
            </xdr:cNvPr>
            <xdr:cNvSpPr/>
          </xdr:nvSpPr>
          <xdr:spPr>
            <a:xfrm rot="16200000">
              <a:off x="2418042" y="6302096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00" name="Isosceles Triangle 99">
              <a:extLst>
                <a:ext uri="{FF2B5EF4-FFF2-40B4-BE49-F238E27FC236}">
                  <a16:creationId xmlns:a16="http://schemas.microsoft.com/office/drawing/2014/main" id="{00000000-0008-0000-0300-000064000000}"/>
                </a:ext>
              </a:extLst>
            </xdr:cNvPr>
            <xdr:cNvSpPr/>
          </xdr:nvSpPr>
          <xdr:spPr>
            <a:xfrm rot="16200000">
              <a:off x="2421614" y="6359247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01" name="Isosceles Triangle 100">
              <a:extLst>
                <a:ext uri="{FF2B5EF4-FFF2-40B4-BE49-F238E27FC236}">
                  <a16:creationId xmlns:a16="http://schemas.microsoft.com/office/drawing/2014/main" id="{00000000-0008-0000-0300-000065000000}"/>
                </a:ext>
              </a:extLst>
            </xdr:cNvPr>
            <xdr:cNvSpPr/>
          </xdr:nvSpPr>
          <xdr:spPr>
            <a:xfrm rot="16200000">
              <a:off x="2421613" y="6418777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02" name="Isosceles Triangle 101">
              <a:extLst>
                <a:ext uri="{FF2B5EF4-FFF2-40B4-BE49-F238E27FC236}">
                  <a16:creationId xmlns:a16="http://schemas.microsoft.com/office/drawing/2014/main" id="{00000000-0008-0000-0300-000066000000}"/>
                </a:ext>
              </a:extLst>
            </xdr:cNvPr>
            <xdr:cNvSpPr/>
          </xdr:nvSpPr>
          <xdr:spPr>
            <a:xfrm rot="16200000">
              <a:off x="2419232" y="6475928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95" name="Group 94">
            <a:extLst>
              <a:ext uri="{FF2B5EF4-FFF2-40B4-BE49-F238E27FC236}">
                <a16:creationId xmlns:a16="http://schemas.microsoft.com/office/drawing/2014/main" id="{00000000-0008-0000-0300-00005F000000}"/>
              </a:ext>
            </a:extLst>
          </xdr:cNvPr>
          <xdr:cNvGrpSpPr/>
        </xdr:nvGrpSpPr>
        <xdr:grpSpPr>
          <a:xfrm>
            <a:off x="2332671" y="6600589"/>
            <a:ext cx="223603" cy="152875"/>
            <a:chOff x="2332671" y="6600589"/>
            <a:chExt cx="223603" cy="152875"/>
          </a:xfrm>
        </xdr:grpSpPr>
        <xdr:sp macro="" textlink="">
          <xdr:nvSpPr>
            <xdr:cNvPr id="96" name="Isosceles Triangle 95">
              <a:extLst>
                <a:ext uri="{FF2B5EF4-FFF2-40B4-BE49-F238E27FC236}">
                  <a16:creationId xmlns:a16="http://schemas.microsoft.com/office/drawing/2014/main" id="{00000000-0008-0000-0300-000060000000}"/>
                </a:ext>
              </a:extLst>
            </xdr:cNvPr>
            <xdr:cNvSpPr/>
          </xdr:nvSpPr>
          <xdr:spPr>
            <a:xfrm rot="16200000">
              <a:off x="2422804" y="6568797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97" name="Isosceles Triangle 96">
              <a:extLst>
                <a:ext uri="{FF2B5EF4-FFF2-40B4-BE49-F238E27FC236}">
                  <a16:creationId xmlns:a16="http://schemas.microsoft.com/office/drawing/2014/main" id="{00000000-0008-0000-0300-000061000000}"/>
                </a:ext>
              </a:extLst>
            </xdr:cNvPr>
            <xdr:cNvSpPr/>
          </xdr:nvSpPr>
          <xdr:spPr>
            <a:xfrm rot="16200000">
              <a:off x="2420423" y="6619994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98" name="Isosceles Triangle 97">
              <a:extLst>
                <a:ext uri="{FF2B5EF4-FFF2-40B4-BE49-F238E27FC236}">
                  <a16:creationId xmlns:a16="http://schemas.microsoft.com/office/drawing/2014/main" id="{00000000-0008-0000-0300-000062000000}"/>
                </a:ext>
              </a:extLst>
            </xdr:cNvPr>
            <xdr:cNvSpPr/>
          </xdr:nvSpPr>
          <xdr:spPr>
            <a:xfrm rot="16200000">
              <a:off x="2420422" y="6512838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</xdr:grpSp>
    <xdr:clientData/>
  </xdr:twoCellAnchor>
  <xdr:twoCellAnchor>
    <xdr:from>
      <xdr:col>35</xdr:col>
      <xdr:colOff>66675</xdr:colOff>
      <xdr:row>26</xdr:row>
      <xdr:rowOff>172640</xdr:rowOff>
    </xdr:from>
    <xdr:to>
      <xdr:col>35</xdr:col>
      <xdr:colOff>66675</xdr:colOff>
      <xdr:row>28</xdr:row>
      <xdr:rowOff>178593</xdr:rowOff>
    </xdr:to>
    <xdr:cxnSp macro="">
      <xdr:nvCxnSpPr>
        <xdr:cNvPr id="104" name="Straight Arrow Connector 103">
          <a:extLst>
            <a:ext uri="{FF2B5EF4-FFF2-40B4-BE49-F238E27FC236}">
              <a16:creationId xmlns:a16="http://schemas.microsoft.com/office/drawing/2014/main" id="{00000000-0008-0000-0300-000068000000}"/>
            </a:ext>
          </a:extLst>
        </xdr:cNvPr>
        <xdr:cNvCxnSpPr/>
      </xdr:nvCxnSpPr>
      <xdr:spPr>
        <a:xfrm>
          <a:off x="9163050" y="5149453"/>
          <a:ext cx="0" cy="386953"/>
        </a:xfrm>
        <a:prstGeom prst="straightConnector1">
          <a:avLst/>
        </a:prstGeom>
        <a:ln>
          <a:solidFill>
            <a:srgbClr val="FFFF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57150</xdr:colOff>
      <xdr:row>29</xdr:row>
      <xdr:rowOff>19050</xdr:rowOff>
    </xdr:from>
    <xdr:to>
      <xdr:col>15</xdr:col>
      <xdr:colOff>57150</xdr:colOff>
      <xdr:row>31</xdr:row>
      <xdr:rowOff>28575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CxnSpPr/>
      </xdr:nvCxnSpPr>
      <xdr:spPr>
        <a:xfrm>
          <a:off x="1276350" y="5562600"/>
          <a:ext cx="0" cy="3905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57150</xdr:colOff>
      <xdr:row>32</xdr:row>
      <xdr:rowOff>180975</xdr:rowOff>
    </xdr:from>
    <xdr:to>
      <xdr:col>15</xdr:col>
      <xdr:colOff>57150</xdr:colOff>
      <xdr:row>35</xdr:row>
      <xdr:rowOff>19050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CxnSpPr/>
      </xdr:nvCxnSpPr>
      <xdr:spPr>
        <a:xfrm>
          <a:off x="1276350" y="6296025"/>
          <a:ext cx="0" cy="4095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27622</xdr:colOff>
      <xdr:row>32</xdr:row>
      <xdr:rowOff>50960</xdr:rowOff>
    </xdr:from>
    <xdr:to>
      <xdr:col>13</xdr:col>
      <xdr:colOff>123827</xdr:colOff>
      <xdr:row>32</xdr:row>
      <xdr:rowOff>96679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 rot="16200000">
          <a:off x="448152" y="6078855"/>
          <a:ext cx="45719" cy="220030"/>
        </a:xfrm>
        <a:prstGeom prst="triangl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26431</xdr:colOff>
      <xdr:row>31</xdr:row>
      <xdr:rowOff>16431</xdr:rowOff>
    </xdr:from>
    <xdr:to>
      <xdr:col>13</xdr:col>
      <xdr:colOff>127399</xdr:colOff>
      <xdr:row>32</xdr:row>
      <xdr:rowOff>189548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pSpPr/>
      </xdr:nvGrpSpPr>
      <xdr:grpSpPr>
        <a:xfrm>
          <a:off x="3131581" y="5756831"/>
          <a:ext cx="227968" cy="350917"/>
          <a:chOff x="359806" y="5945744"/>
          <a:chExt cx="225984" cy="363617"/>
        </a:xfrm>
      </xdr:grpSpPr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00000000-0008-0000-0400-000006000000}"/>
              </a:ext>
            </a:extLst>
          </xdr:cNvPr>
          <xdr:cNvGrpSpPr/>
        </xdr:nvGrpSpPr>
        <xdr:grpSpPr>
          <a:xfrm>
            <a:off x="359806" y="5945744"/>
            <a:ext cx="224793" cy="219551"/>
            <a:chOff x="359806" y="5945744"/>
            <a:chExt cx="224793" cy="219551"/>
          </a:xfrm>
        </xdr:grpSpPr>
        <xdr:sp macro="" textlink="">
          <xdr:nvSpPr>
            <xdr:cNvPr id="10" name="Isosceles Triangle 9">
              <a:extLst>
                <a:ext uri="{FF2B5EF4-FFF2-40B4-BE49-F238E27FC236}">
                  <a16:creationId xmlns:a16="http://schemas.microsoft.com/office/drawing/2014/main" id="{00000000-0008-0000-0400-00000A000000}"/>
                </a:ext>
              </a:extLst>
            </xdr:cNvPr>
            <xdr:cNvSpPr/>
          </xdr:nvSpPr>
          <xdr:spPr>
            <a:xfrm rot="16200000">
              <a:off x="449939" y="5857993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1" name="Isosceles Triangle 10">
              <a:extLst>
                <a:ext uri="{FF2B5EF4-FFF2-40B4-BE49-F238E27FC236}">
                  <a16:creationId xmlns:a16="http://schemas.microsoft.com/office/drawing/2014/main" id="{00000000-0008-0000-0400-00000B000000}"/>
                </a:ext>
              </a:extLst>
            </xdr:cNvPr>
            <xdr:cNvSpPr/>
          </xdr:nvSpPr>
          <xdr:spPr>
            <a:xfrm rot="16200000">
              <a:off x="447558" y="5915144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2" name="Isosceles Triangle 11">
              <a:extLst>
                <a:ext uri="{FF2B5EF4-FFF2-40B4-BE49-F238E27FC236}">
                  <a16:creationId xmlns:a16="http://schemas.microsoft.com/office/drawing/2014/main" id="{00000000-0008-0000-0400-00000C000000}"/>
                </a:ext>
              </a:extLst>
            </xdr:cNvPr>
            <xdr:cNvSpPr/>
          </xdr:nvSpPr>
          <xdr:spPr>
            <a:xfrm rot="16200000">
              <a:off x="447557" y="5974674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3" name="Isosceles Triangle 12">
              <a:extLst>
                <a:ext uri="{FF2B5EF4-FFF2-40B4-BE49-F238E27FC236}">
                  <a16:creationId xmlns:a16="http://schemas.microsoft.com/office/drawing/2014/main" id="{00000000-0008-0000-0400-00000D000000}"/>
                </a:ext>
              </a:extLst>
            </xdr:cNvPr>
            <xdr:cNvSpPr/>
          </xdr:nvSpPr>
          <xdr:spPr>
            <a:xfrm rot="16200000">
              <a:off x="451129" y="6031825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00000000-0008-0000-0400-000007000000}"/>
              </a:ext>
            </a:extLst>
          </xdr:cNvPr>
          <xdr:cNvGrpSpPr/>
        </xdr:nvGrpSpPr>
        <xdr:grpSpPr>
          <a:xfrm>
            <a:off x="360997" y="6212445"/>
            <a:ext cx="224793" cy="96916"/>
            <a:chOff x="360997" y="6212445"/>
            <a:chExt cx="224793" cy="96916"/>
          </a:xfrm>
        </xdr:grpSpPr>
        <xdr:sp macro="" textlink="">
          <xdr:nvSpPr>
            <xdr:cNvPr id="8" name="Isosceles Triangle 7">
              <a:extLst>
                <a:ext uri="{FF2B5EF4-FFF2-40B4-BE49-F238E27FC236}">
                  <a16:creationId xmlns:a16="http://schemas.microsoft.com/office/drawing/2014/main" id="{00000000-0008-0000-0400-000008000000}"/>
                </a:ext>
              </a:extLst>
            </xdr:cNvPr>
            <xdr:cNvSpPr/>
          </xdr:nvSpPr>
          <xdr:spPr>
            <a:xfrm rot="16200000">
              <a:off x="448748" y="6124694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9" name="Isosceles Triangle 8">
              <a:extLst>
                <a:ext uri="{FF2B5EF4-FFF2-40B4-BE49-F238E27FC236}">
                  <a16:creationId xmlns:a16="http://schemas.microsoft.com/office/drawing/2014/main" id="{00000000-0008-0000-0400-000009000000}"/>
                </a:ext>
              </a:extLst>
            </xdr:cNvPr>
            <xdr:cNvSpPr/>
          </xdr:nvSpPr>
          <xdr:spPr>
            <a:xfrm rot="16200000">
              <a:off x="452320" y="6175891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</xdr:grpSp>
    <xdr:clientData/>
  </xdr:twoCellAnchor>
  <xdr:twoCellAnchor>
    <xdr:from>
      <xdr:col>14</xdr:col>
      <xdr:colOff>624125</xdr:colOff>
      <xdr:row>31</xdr:row>
      <xdr:rowOff>20002</xdr:rowOff>
    </xdr:from>
    <xdr:to>
      <xdr:col>16</xdr:col>
      <xdr:colOff>109541</xdr:colOff>
      <xdr:row>33</xdr:row>
      <xdr:rowOff>14526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GrpSpPr/>
      </xdr:nvGrpSpPr>
      <xdr:grpSpPr>
        <a:xfrm flipH="1">
          <a:off x="3995975" y="5760402"/>
          <a:ext cx="285516" cy="362824"/>
          <a:chOff x="2332671" y="6377940"/>
          <a:chExt cx="228366" cy="375524"/>
        </a:xfrm>
      </xdr:grpSpPr>
      <xdr:grpSp>
        <xdr:nvGrpSpPr>
          <xdr:cNvPr id="15" name="Group 14">
            <a:extLst>
              <a:ext uri="{FF2B5EF4-FFF2-40B4-BE49-F238E27FC236}">
                <a16:creationId xmlns:a16="http://schemas.microsoft.com/office/drawing/2014/main" id="{00000000-0008-0000-0400-00000F000000}"/>
              </a:ext>
            </a:extLst>
          </xdr:cNvPr>
          <xdr:cNvGrpSpPr/>
        </xdr:nvGrpSpPr>
        <xdr:grpSpPr>
          <a:xfrm>
            <a:off x="2336244" y="6377940"/>
            <a:ext cx="224793" cy="219551"/>
            <a:chOff x="2333862" y="6389847"/>
            <a:chExt cx="224793" cy="219551"/>
          </a:xfrm>
        </xdr:grpSpPr>
        <xdr:sp macro="" textlink="">
          <xdr:nvSpPr>
            <xdr:cNvPr id="20" name="Isosceles Triangle 19">
              <a:extLst>
                <a:ext uri="{FF2B5EF4-FFF2-40B4-BE49-F238E27FC236}">
                  <a16:creationId xmlns:a16="http://schemas.microsoft.com/office/drawing/2014/main" id="{00000000-0008-0000-0400-000014000000}"/>
                </a:ext>
              </a:extLst>
            </xdr:cNvPr>
            <xdr:cNvSpPr/>
          </xdr:nvSpPr>
          <xdr:spPr>
            <a:xfrm rot="16200000">
              <a:off x="2418042" y="6302096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1" name="Isosceles Triangle 20">
              <a:extLst>
                <a:ext uri="{FF2B5EF4-FFF2-40B4-BE49-F238E27FC236}">
                  <a16:creationId xmlns:a16="http://schemas.microsoft.com/office/drawing/2014/main" id="{00000000-0008-0000-0400-000015000000}"/>
                </a:ext>
              </a:extLst>
            </xdr:cNvPr>
            <xdr:cNvSpPr/>
          </xdr:nvSpPr>
          <xdr:spPr>
            <a:xfrm rot="16200000">
              <a:off x="2421614" y="6359247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2" name="Isosceles Triangle 21">
              <a:extLst>
                <a:ext uri="{FF2B5EF4-FFF2-40B4-BE49-F238E27FC236}">
                  <a16:creationId xmlns:a16="http://schemas.microsoft.com/office/drawing/2014/main" id="{00000000-0008-0000-0400-000016000000}"/>
                </a:ext>
              </a:extLst>
            </xdr:cNvPr>
            <xdr:cNvSpPr/>
          </xdr:nvSpPr>
          <xdr:spPr>
            <a:xfrm rot="16200000">
              <a:off x="2421613" y="6418777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3" name="Isosceles Triangle 22">
              <a:extLst>
                <a:ext uri="{FF2B5EF4-FFF2-40B4-BE49-F238E27FC236}">
                  <a16:creationId xmlns:a16="http://schemas.microsoft.com/office/drawing/2014/main" id="{00000000-0008-0000-0400-000017000000}"/>
                </a:ext>
              </a:extLst>
            </xdr:cNvPr>
            <xdr:cNvSpPr/>
          </xdr:nvSpPr>
          <xdr:spPr>
            <a:xfrm rot="16200000">
              <a:off x="2419232" y="6475928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16" name="Group 15">
            <a:extLst>
              <a:ext uri="{FF2B5EF4-FFF2-40B4-BE49-F238E27FC236}">
                <a16:creationId xmlns:a16="http://schemas.microsoft.com/office/drawing/2014/main" id="{00000000-0008-0000-0400-000010000000}"/>
              </a:ext>
            </a:extLst>
          </xdr:cNvPr>
          <xdr:cNvGrpSpPr/>
        </xdr:nvGrpSpPr>
        <xdr:grpSpPr>
          <a:xfrm>
            <a:off x="2332671" y="6600589"/>
            <a:ext cx="223603" cy="152875"/>
            <a:chOff x="2332671" y="6600589"/>
            <a:chExt cx="223603" cy="152875"/>
          </a:xfrm>
        </xdr:grpSpPr>
        <xdr:sp macro="" textlink="">
          <xdr:nvSpPr>
            <xdr:cNvPr id="17" name="Isosceles Triangle 16">
              <a:extLst>
                <a:ext uri="{FF2B5EF4-FFF2-40B4-BE49-F238E27FC236}">
                  <a16:creationId xmlns:a16="http://schemas.microsoft.com/office/drawing/2014/main" id="{00000000-0008-0000-0400-000011000000}"/>
                </a:ext>
              </a:extLst>
            </xdr:cNvPr>
            <xdr:cNvSpPr/>
          </xdr:nvSpPr>
          <xdr:spPr>
            <a:xfrm rot="16200000">
              <a:off x="2422804" y="6568797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8" name="Isosceles Triangle 17">
              <a:extLst>
                <a:ext uri="{FF2B5EF4-FFF2-40B4-BE49-F238E27FC236}">
                  <a16:creationId xmlns:a16="http://schemas.microsoft.com/office/drawing/2014/main" id="{00000000-0008-0000-0400-000012000000}"/>
                </a:ext>
              </a:extLst>
            </xdr:cNvPr>
            <xdr:cNvSpPr/>
          </xdr:nvSpPr>
          <xdr:spPr>
            <a:xfrm rot="16200000">
              <a:off x="2420423" y="6619994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9" name="Isosceles Triangle 18">
              <a:extLst>
                <a:ext uri="{FF2B5EF4-FFF2-40B4-BE49-F238E27FC236}">
                  <a16:creationId xmlns:a16="http://schemas.microsoft.com/office/drawing/2014/main" id="{00000000-0008-0000-0400-000013000000}"/>
                </a:ext>
              </a:extLst>
            </xdr:cNvPr>
            <xdr:cNvSpPr/>
          </xdr:nvSpPr>
          <xdr:spPr>
            <a:xfrm rot="16200000">
              <a:off x="2420422" y="6512838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</xdr:grpSp>
    <xdr:clientData/>
  </xdr:twoCellAnchor>
  <xdr:twoCellAnchor>
    <xdr:from>
      <xdr:col>16</xdr:col>
      <xdr:colOff>66675</xdr:colOff>
      <xdr:row>20</xdr:row>
      <xdr:rowOff>153109</xdr:rowOff>
    </xdr:from>
    <xdr:to>
      <xdr:col>16</xdr:col>
      <xdr:colOff>66675</xdr:colOff>
      <xdr:row>23</xdr:row>
      <xdr:rowOff>9512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CxnSpPr/>
      </xdr:nvCxnSpPr>
      <xdr:spPr>
        <a:xfrm>
          <a:off x="1419225" y="3982159"/>
          <a:ext cx="0" cy="427903"/>
        </a:xfrm>
        <a:prstGeom prst="straightConnector1">
          <a:avLst/>
        </a:prstGeom>
        <a:ln>
          <a:solidFill>
            <a:srgbClr val="FFFF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66675</xdr:colOff>
      <xdr:row>19</xdr:row>
      <xdr:rowOff>0</xdr:rowOff>
    </xdr:from>
    <xdr:to>
      <xdr:col>16</xdr:col>
      <xdr:colOff>66675</xdr:colOff>
      <xdr:row>21</xdr:row>
      <xdr:rowOff>10234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CxnSpPr/>
      </xdr:nvCxnSpPr>
      <xdr:spPr>
        <a:xfrm>
          <a:off x="1419225" y="3638550"/>
          <a:ext cx="0" cy="391234"/>
        </a:xfrm>
        <a:prstGeom prst="straightConnector1">
          <a:avLst/>
        </a:prstGeom>
        <a:ln>
          <a:solidFill>
            <a:srgbClr val="FFFF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57150</xdr:colOff>
      <xdr:row>29</xdr:row>
      <xdr:rowOff>19050</xdr:rowOff>
    </xdr:from>
    <xdr:to>
      <xdr:col>15</xdr:col>
      <xdr:colOff>57150</xdr:colOff>
      <xdr:row>31</xdr:row>
      <xdr:rowOff>28575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CxnSpPr/>
      </xdr:nvCxnSpPr>
      <xdr:spPr>
        <a:xfrm>
          <a:off x="1276350" y="5562600"/>
          <a:ext cx="0" cy="3905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57150</xdr:colOff>
      <xdr:row>32</xdr:row>
      <xdr:rowOff>180975</xdr:rowOff>
    </xdr:from>
    <xdr:to>
      <xdr:col>15</xdr:col>
      <xdr:colOff>57150</xdr:colOff>
      <xdr:row>35</xdr:row>
      <xdr:rowOff>19050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CxnSpPr/>
      </xdr:nvCxnSpPr>
      <xdr:spPr>
        <a:xfrm>
          <a:off x="1276350" y="6296025"/>
          <a:ext cx="0" cy="4095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27622</xdr:colOff>
      <xdr:row>32</xdr:row>
      <xdr:rowOff>50960</xdr:rowOff>
    </xdr:from>
    <xdr:to>
      <xdr:col>13</xdr:col>
      <xdr:colOff>123827</xdr:colOff>
      <xdr:row>32</xdr:row>
      <xdr:rowOff>96679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 rot="16200000">
          <a:off x="448152" y="6078855"/>
          <a:ext cx="45719" cy="220030"/>
        </a:xfrm>
        <a:prstGeom prst="triangl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26431</xdr:colOff>
      <xdr:row>31</xdr:row>
      <xdr:rowOff>16431</xdr:rowOff>
    </xdr:from>
    <xdr:to>
      <xdr:col>13</xdr:col>
      <xdr:colOff>127399</xdr:colOff>
      <xdr:row>32</xdr:row>
      <xdr:rowOff>189548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GrpSpPr/>
      </xdr:nvGrpSpPr>
      <xdr:grpSpPr>
        <a:xfrm>
          <a:off x="3131581" y="5756831"/>
          <a:ext cx="227968" cy="350917"/>
          <a:chOff x="359806" y="5945744"/>
          <a:chExt cx="225984" cy="363617"/>
        </a:xfrm>
      </xdr:grpSpPr>
      <xdr:grpSp>
        <xdr:nvGrpSpPr>
          <xdr:cNvPr id="30" name="Group 29">
            <a:extLst>
              <a:ext uri="{FF2B5EF4-FFF2-40B4-BE49-F238E27FC236}">
                <a16:creationId xmlns:a16="http://schemas.microsoft.com/office/drawing/2014/main" id="{00000000-0008-0000-0400-00001E000000}"/>
              </a:ext>
            </a:extLst>
          </xdr:cNvPr>
          <xdr:cNvGrpSpPr/>
        </xdr:nvGrpSpPr>
        <xdr:grpSpPr>
          <a:xfrm>
            <a:off x="359806" y="5945744"/>
            <a:ext cx="224793" cy="219551"/>
            <a:chOff x="359806" y="5945744"/>
            <a:chExt cx="224793" cy="219551"/>
          </a:xfrm>
        </xdr:grpSpPr>
        <xdr:sp macro="" textlink="">
          <xdr:nvSpPr>
            <xdr:cNvPr id="34" name="Isosceles Triangle 33">
              <a:extLst>
                <a:ext uri="{FF2B5EF4-FFF2-40B4-BE49-F238E27FC236}">
                  <a16:creationId xmlns:a16="http://schemas.microsoft.com/office/drawing/2014/main" id="{00000000-0008-0000-0400-000022000000}"/>
                </a:ext>
              </a:extLst>
            </xdr:cNvPr>
            <xdr:cNvSpPr/>
          </xdr:nvSpPr>
          <xdr:spPr>
            <a:xfrm rot="16200000">
              <a:off x="449939" y="5857993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35" name="Isosceles Triangle 34">
              <a:extLst>
                <a:ext uri="{FF2B5EF4-FFF2-40B4-BE49-F238E27FC236}">
                  <a16:creationId xmlns:a16="http://schemas.microsoft.com/office/drawing/2014/main" id="{00000000-0008-0000-0400-000023000000}"/>
                </a:ext>
              </a:extLst>
            </xdr:cNvPr>
            <xdr:cNvSpPr/>
          </xdr:nvSpPr>
          <xdr:spPr>
            <a:xfrm rot="16200000">
              <a:off x="447558" y="5915144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36" name="Isosceles Triangle 35">
              <a:extLst>
                <a:ext uri="{FF2B5EF4-FFF2-40B4-BE49-F238E27FC236}">
                  <a16:creationId xmlns:a16="http://schemas.microsoft.com/office/drawing/2014/main" id="{00000000-0008-0000-0400-000024000000}"/>
                </a:ext>
              </a:extLst>
            </xdr:cNvPr>
            <xdr:cNvSpPr/>
          </xdr:nvSpPr>
          <xdr:spPr>
            <a:xfrm rot="16200000">
              <a:off x="447557" y="5974674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37" name="Isosceles Triangle 36">
              <a:extLst>
                <a:ext uri="{FF2B5EF4-FFF2-40B4-BE49-F238E27FC236}">
                  <a16:creationId xmlns:a16="http://schemas.microsoft.com/office/drawing/2014/main" id="{00000000-0008-0000-0400-000025000000}"/>
                </a:ext>
              </a:extLst>
            </xdr:cNvPr>
            <xdr:cNvSpPr/>
          </xdr:nvSpPr>
          <xdr:spPr>
            <a:xfrm rot="16200000">
              <a:off x="451129" y="6031825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31" name="Group 30">
            <a:extLst>
              <a:ext uri="{FF2B5EF4-FFF2-40B4-BE49-F238E27FC236}">
                <a16:creationId xmlns:a16="http://schemas.microsoft.com/office/drawing/2014/main" id="{00000000-0008-0000-0400-00001F000000}"/>
              </a:ext>
            </a:extLst>
          </xdr:cNvPr>
          <xdr:cNvGrpSpPr/>
        </xdr:nvGrpSpPr>
        <xdr:grpSpPr>
          <a:xfrm>
            <a:off x="360997" y="6212445"/>
            <a:ext cx="224793" cy="96916"/>
            <a:chOff x="360997" y="6212445"/>
            <a:chExt cx="224793" cy="96916"/>
          </a:xfrm>
        </xdr:grpSpPr>
        <xdr:sp macro="" textlink="">
          <xdr:nvSpPr>
            <xdr:cNvPr id="32" name="Isosceles Triangle 31">
              <a:extLst>
                <a:ext uri="{FF2B5EF4-FFF2-40B4-BE49-F238E27FC236}">
                  <a16:creationId xmlns:a16="http://schemas.microsoft.com/office/drawing/2014/main" id="{00000000-0008-0000-0400-000020000000}"/>
                </a:ext>
              </a:extLst>
            </xdr:cNvPr>
            <xdr:cNvSpPr/>
          </xdr:nvSpPr>
          <xdr:spPr>
            <a:xfrm rot="16200000">
              <a:off x="448748" y="6124694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33" name="Isosceles Triangle 32">
              <a:extLst>
                <a:ext uri="{FF2B5EF4-FFF2-40B4-BE49-F238E27FC236}">
                  <a16:creationId xmlns:a16="http://schemas.microsoft.com/office/drawing/2014/main" id="{00000000-0008-0000-0400-000021000000}"/>
                </a:ext>
              </a:extLst>
            </xdr:cNvPr>
            <xdr:cNvSpPr/>
          </xdr:nvSpPr>
          <xdr:spPr>
            <a:xfrm rot="16200000">
              <a:off x="452320" y="6175891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</xdr:grpSp>
    <xdr:clientData/>
  </xdr:twoCellAnchor>
  <xdr:twoCellAnchor>
    <xdr:from>
      <xdr:col>14</xdr:col>
      <xdr:colOff>624125</xdr:colOff>
      <xdr:row>31</xdr:row>
      <xdr:rowOff>20002</xdr:rowOff>
    </xdr:from>
    <xdr:to>
      <xdr:col>16</xdr:col>
      <xdr:colOff>109541</xdr:colOff>
      <xdr:row>33</xdr:row>
      <xdr:rowOff>14526</xdr:rowOff>
    </xdr:to>
    <xdr:grpSp>
      <xdr:nvGrpSpPr>
        <xdr:cNvPr id="38" name="Group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GrpSpPr/>
      </xdr:nvGrpSpPr>
      <xdr:grpSpPr>
        <a:xfrm flipH="1">
          <a:off x="3995975" y="5760402"/>
          <a:ext cx="285516" cy="362824"/>
          <a:chOff x="2332671" y="6377940"/>
          <a:chExt cx="228366" cy="375524"/>
        </a:xfrm>
      </xdr:grpSpPr>
      <xdr:grpSp>
        <xdr:nvGrpSpPr>
          <xdr:cNvPr id="39" name="Group 38">
            <a:extLst>
              <a:ext uri="{FF2B5EF4-FFF2-40B4-BE49-F238E27FC236}">
                <a16:creationId xmlns:a16="http://schemas.microsoft.com/office/drawing/2014/main" id="{00000000-0008-0000-0400-000027000000}"/>
              </a:ext>
            </a:extLst>
          </xdr:cNvPr>
          <xdr:cNvGrpSpPr/>
        </xdr:nvGrpSpPr>
        <xdr:grpSpPr>
          <a:xfrm>
            <a:off x="2336244" y="6377940"/>
            <a:ext cx="224793" cy="219551"/>
            <a:chOff x="2333862" y="6389847"/>
            <a:chExt cx="224793" cy="219551"/>
          </a:xfrm>
        </xdr:grpSpPr>
        <xdr:sp macro="" textlink="">
          <xdr:nvSpPr>
            <xdr:cNvPr id="44" name="Isosceles Triangle 43">
              <a:extLst>
                <a:ext uri="{FF2B5EF4-FFF2-40B4-BE49-F238E27FC236}">
                  <a16:creationId xmlns:a16="http://schemas.microsoft.com/office/drawing/2014/main" id="{00000000-0008-0000-0400-00002C000000}"/>
                </a:ext>
              </a:extLst>
            </xdr:cNvPr>
            <xdr:cNvSpPr/>
          </xdr:nvSpPr>
          <xdr:spPr>
            <a:xfrm rot="16200000">
              <a:off x="2418042" y="6302096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45" name="Isosceles Triangle 44">
              <a:extLst>
                <a:ext uri="{FF2B5EF4-FFF2-40B4-BE49-F238E27FC236}">
                  <a16:creationId xmlns:a16="http://schemas.microsoft.com/office/drawing/2014/main" id="{00000000-0008-0000-0400-00002D000000}"/>
                </a:ext>
              </a:extLst>
            </xdr:cNvPr>
            <xdr:cNvSpPr/>
          </xdr:nvSpPr>
          <xdr:spPr>
            <a:xfrm rot="16200000">
              <a:off x="2421614" y="6359247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46" name="Isosceles Triangle 45">
              <a:extLst>
                <a:ext uri="{FF2B5EF4-FFF2-40B4-BE49-F238E27FC236}">
                  <a16:creationId xmlns:a16="http://schemas.microsoft.com/office/drawing/2014/main" id="{00000000-0008-0000-0400-00002E000000}"/>
                </a:ext>
              </a:extLst>
            </xdr:cNvPr>
            <xdr:cNvSpPr/>
          </xdr:nvSpPr>
          <xdr:spPr>
            <a:xfrm rot="16200000">
              <a:off x="2421613" y="6418777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47" name="Isosceles Triangle 46">
              <a:extLst>
                <a:ext uri="{FF2B5EF4-FFF2-40B4-BE49-F238E27FC236}">
                  <a16:creationId xmlns:a16="http://schemas.microsoft.com/office/drawing/2014/main" id="{00000000-0008-0000-0400-00002F000000}"/>
                </a:ext>
              </a:extLst>
            </xdr:cNvPr>
            <xdr:cNvSpPr/>
          </xdr:nvSpPr>
          <xdr:spPr>
            <a:xfrm rot="16200000">
              <a:off x="2419232" y="6475928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00000000-0008-0000-0400-000028000000}"/>
              </a:ext>
            </a:extLst>
          </xdr:cNvPr>
          <xdr:cNvGrpSpPr/>
        </xdr:nvGrpSpPr>
        <xdr:grpSpPr>
          <a:xfrm>
            <a:off x="2332671" y="6600589"/>
            <a:ext cx="223603" cy="152875"/>
            <a:chOff x="2332671" y="6600589"/>
            <a:chExt cx="223603" cy="152875"/>
          </a:xfrm>
        </xdr:grpSpPr>
        <xdr:sp macro="" textlink="">
          <xdr:nvSpPr>
            <xdr:cNvPr id="41" name="Isosceles Triangle 40">
              <a:extLst>
                <a:ext uri="{FF2B5EF4-FFF2-40B4-BE49-F238E27FC236}">
                  <a16:creationId xmlns:a16="http://schemas.microsoft.com/office/drawing/2014/main" id="{00000000-0008-0000-0400-000029000000}"/>
                </a:ext>
              </a:extLst>
            </xdr:cNvPr>
            <xdr:cNvSpPr/>
          </xdr:nvSpPr>
          <xdr:spPr>
            <a:xfrm rot="16200000">
              <a:off x="2422804" y="6568797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42" name="Isosceles Triangle 41">
              <a:extLst>
                <a:ext uri="{FF2B5EF4-FFF2-40B4-BE49-F238E27FC236}">
                  <a16:creationId xmlns:a16="http://schemas.microsoft.com/office/drawing/2014/main" id="{00000000-0008-0000-0400-00002A000000}"/>
                </a:ext>
              </a:extLst>
            </xdr:cNvPr>
            <xdr:cNvSpPr/>
          </xdr:nvSpPr>
          <xdr:spPr>
            <a:xfrm rot="16200000">
              <a:off x="2420423" y="6619994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43" name="Isosceles Triangle 42">
              <a:extLst>
                <a:ext uri="{FF2B5EF4-FFF2-40B4-BE49-F238E27FC236}">
                  <a16:creationId xmlns:a16="http://schemas.microsoft.com/office/drawing/2014/main" id="{00000000-0008-0000-0400-00002B000000}"/>
                </a:ext>
              </a:extLst>
            </xdr:cNvPr>
            <xdr:cNvSpPr/>
          </xdr:nvSpPr>
          <xdr:spPr>
            <a:xfrm rot="16200000">
              <a:off x="2420422" y="6512838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</xdr:grpSp>
    <xdr:clientData/>
  </xdr:twoCellAnchor>
  <xdr:twoCellAnchor>
    <xdr:from>
      <xdr:col>16</xdr:col>
      <xdr:colOff>66675</xdr:colOff>
      <xdr:row>20</xdr:row>
      <xdr:rowOff>153109</xdr:rowOff>
    </xdr:from>
    <xdr:to>
      <xdr:col>16</xdr:col>
      <xdr:colOff>66675</xdr:colOff>
      <xdr:row>23</xdr:row>
      <xdr:rowOff>9512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CxnSpPr/>
      </xdr:nvCxnSpPr>
      <xdr:spPr>
        <a:xfrm>
          <a:off x="1419225" y="3982159"/>
          <a:ext cx="0" cy="427903"/>
        </a:xfrm>
        <a:prstGeom prst="straightConnector1">
          <a:avLst/>
        </a:prstGeom>
        <a:ln>
          <a:solidFill>
            <a:srgbClr val="FFFF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66675</xdr:colOff>
      <xdr:row>19</xdr:row>
      <xdr:rowOff>0</xdr:rowOff>
    </xdr:from>
    <xdr:to>
      <xdr:col>16</xdr:col>
      <xdr:colOff>66675</xdr:colOff>
      <xdr:row>21</xdr:row>
      <xdr:rowOff>10234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CxnSpPr/>
      </xdr:nvCxnSpPr>
      <xdr:spPr>
        <a:xfrm>
          <a:off x="1419225" y="3638550"/>
          <a:ext cx="0" cy="391234"/>
        </a:xfrm>
        <a:prstGeom prst="straightConnector1">
          <a:avLst/>
        </a:prstGeom>
        <a:ln>
          <a:solidFill>
            <a:srgbClr val="FFFF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57150</xdr:colOff>
      <xdr:row>29</xdr:row>
      <xdr:rowOff>19050</xdr:rowOff>
    </xdr:from>
    <xdr:to>
      <xdr:col>25</xdr:col>
      <xdr:colOff>57150</xdr:colOff>
      <xdr:row>31</xdr:row>
      <xdr:rowOff>28575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CxnSpPr/>
      </xdr:nvCxnSpPr>
      <xdr:spPr>
        <a:xfrm>
          <a:off x="1276350" y="5562600"/>
          <a:ext cx="0" cy="3905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57150</xdr:colOff>
      <xdr:row>32</xdr:row>
      <xdr:rowOff>180975</xdr:rowOff>
    </xdr:from>
    <xdr:to>
      <xdr:col>25</xdr:col>
      <xdr:colOff>57150</xdr:colOff>
      <xdr:row>35</xdr:row>
      <xdr:rowOff>19050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CxnSpPr/>
      </xdr:nvCxnSpPr>
      <xdr:spPr>
        <a:xfrm>
          <a:off x="1276350" y="6296025"/>
          <a:ext cx="0" cy="4095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27622</xdr:colOff>
      <xdr:row>32</xdr:row>
      <xdr:rowOff>50960</xdr:rowOff>
    </xdr:from>
    <xdr:to>
      <xdr:col>23</xdr:col>
      <xdr:colOff>123827</xdr:colOff>
      <xdr:row>32</xdr:row>
      <xdr:rowOff>96679</xdr:rowOff>
    </xdr:to>
    <xdr:sp macro="" textlink="">
      <xdr:nvSpPr>
        <xdr:cNvPr id="52" name="Isosceles Triangle 51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SpPr/>
      </xdr:nvSpPr>
      <xdr:spPr>
        <a:xfrm rot="16200000">
          <a:off x="448152" y="6078855"/>
          <a:ext cx="45719" cy="220030"/>
        </a:xfrm>
        <a:prstGeom prst="triangl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26431</xdr:colOff>
      <xdr:row>31</xdr:row>
      <xdr:rowOff>16431</xdr:rowOff>
    </xdr:from>
    <xdr:to>
      <xdr:col>23</xdr:col>
      <xdr:colOff>127399</xdr:colOff>
      <xdr:row>32</xdr:row>
      <xdr:rowOff>189548</xdr:rowOff>
    </xdr:to>
    <xdr:grpSp>
      <xdr:nvGrpSpPr>
        <xdr:cNvPr id="53" name="Group 52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GrpSpPr/>
      </xdr:nvGrpSpPr>
      <xdr:grpSpPr>
        <a:xfrm>
          <a:off x="5887481" y="5756831"/>
          <a:ext cx="227968" cy="350917"/>
          <a:chOff x="359806" y="5945744"/>
          <a:chExt cx="225984" cy="363617"/>
        </a:xfrm>
      </xdr:grpSpPr>
      <xdr:grpSp>
        <xdr:nvGrpSpPr>
          <xdr:cNvPr id="54" name="Group 53">
            <a:extLst>
              <a:ext uri="{FF2B5EF4-FFF2-40B4-BE49-F238E27FC236}">
                <a16:creationId xmlns:a16="http://schemas.microsoft.com/office/drawing/2014/main" id="{00000000-0008-0000-0400-000036000000}"/>
              </a:ext>
            </a:extLst>
          </xdr:cNvPr>
          <xdr:cNvGrpSpPr/>
        </xdr:nvGrpSpPr>
        <xdr:grpSpPr>
          <a:xfrm>
            <a:off x="359806" y="5945744"/>
            <a:ext cx="224793" cy="219551"/>
            <a:chOff x="359806" y="5945744"/>
            <a:chExt cx="224793" cy="219551"/>
          </a:xfrm>
        </xdr:grpSpPr>
        <xdr:sp macro="" textlink="">
          <xdr:nvSpPr>
            <xdr:cNvPr id="58" name="Isosceles Triangle 57">
              <a:extLst>
                <a:ext uri="{FF2B5EF4-FFF2-40B4-BE49-F238E27FC236}">
                  <a16:creationId xmlns:a16="http://schemas.microsoft.com/office/drawing/2014/main" id="{00000000-0008-0000-0400-00003A000000}"/>
                </a:ext>
              </a:extLst>
            </xdr:cNvPr>
            <xdr:cNvSpPr/>
          </xdr:nvSpPr>
          <xdr:spPr>
            <a:xfrm rot="16200000">
              <a:off x="449939" y="5857993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59" name="Isosceles Triangle 58">
              <a:extLst>
                <a:ext uri="{FF2B5EF4-FFF2-40B4-BE49-F238E27FC236}">
                  <a16:creationId xmlns:a16="http://schemas.microsoft.com/office/drawing/2014/main" id="{00000000-0008-0000-0400-00003B000000}"/>
                </a:ext>
              </a:extLst>
            </xdr:cNvPr>
            <xdr:cNvSpPr/>
          </xdr:nvSpPr>
          <xdr:spPr>
            <a:xfrm rot="16200000">
              <a:off x="447558" y="5915144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60" name="Isosceles Triangle 59">
              <a:extLst>
                <a:ext uri="{FF2B5EF4-FFF2-40B4-BE49-F238E27FC236}">
                  <a16:creationId xmlns:a16="http://schemas.microsoft.com/office/drawing/2014/main" id="{00000000-0008-0000-0400-00003C000000}"/>
                </a:ext>
              </a:extLst>
            </xdr:cNvPr>
            <xdr:cNvSpPr/>
          </xdr:nvSpPr>
          <xdr:spPr>
            <a:xfrm rot="16200000">
              <a:off x="447557" y="5974674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61" name="Isosceles Triangle 60">
              <a:extLst>
                <a:ext uri="{FF2B5EF4-FFF2-40B4-BE49-F238E27FC236}">
                  <a16:creationId xmlns:a16="http://schemas.microsoft.com/office/drawing/2014/main" id="{00000000-0008-0000-0400-00003D000000}"/>
                </a:ext>
              </a:extLst>
            </xdr:cNvPr>
            <xdr:cNvSpPr/>
          </xdr:nvSpPr>
          <xdr:spPr>
            <a:xfrm rot="16200000">
              <a:off x="451129" y="6031825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55" name="Group 54">
            <a:extLst>
              <a:ext uri="{FF2B5EF4-FFF2-40B4-BE49-F238E27FC236}">
                <a16:creationId xmlns:a16="http://schemas.microsoft.com/office/drawing/2014/main" id="{00000000-0008-0000-0400-000037000000}"/>
              </a:ext>
            </a:extLst>
          </xdr:cNvPr>
          <xdr:cNvGrpSpPr/>
        </xdr:nvGrpSpPr>
        <xdr:grpSpPr>
          <a:xfrm>
            <a:off x="360997" y="6212445"/>
            <a:ext cx="224793" cy="96916"/>
            <a:chOff x="360997" y="6212445"/>
            <a:chExt cx="224793" cy="96916"/>
          </a:xfrm>
        </xdr:grpSpPr>
        <xdr:sp macro="" textlink="">
          <xdr:nvSpPr>
            <xdr:cNvPr id="56" name="Isosceles Triangle 55">
              <a:extLst>
                <a:ext uri="{FF2B5EF4-FFF2-40B4-BE49-F238E27FC236}">
                  <a16:creationId xmlns:a16="http://schemas.microsoft.com/office/drawing/2014/main" id="{00000000-0008-0000-0400-000038000000}"/>
                </a:ext>
              </a:extLst>
            </xdr:cNvPr>
            <xdr:cNvSpPr/>
          </xdr:nvSpPr>
          <xdr:spPr>
            <a:xfrm rot="16200000">
              <a:off x="448748" y="6124694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57" name="Isosceles Triangle 56">
              <a:extLst>
                <a:ext uri="{FF2B5EF4-FFF2-40B4-BE49-F238E27FC236}">
                  <a16:creationId xmlns:a16="http://schemas.microsoft.com/office/drawing/2014/main" id="{00000000-0008-0000-0400-000039000000}"/>
                </a:ext>
              </a:extLst>
            </xdr:cNvPr>
            <xdr:cNvSpPr/>
          </xdr:nvSpPr>
          <xdr:spPr>
            <a:xfrm rot="16200000">
              <a:off x="452320" y="6175891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</xdr:grpSp>
    <xdr:clientData/>
  </xdr:twoCellAnchor>
  <xdr:twoCellAnchor>
    <xdr:from>
      <xdr:col>24</xdr:col>
      <xdr:colOff>605075</xdr:colOff>
      <xdr:row>31</xdr:row>
      <xdr:rowOff>20002</xdr:rowOff>
    </xdr:from>
    <xdr:to>
      <xdr:col>26</xdr:col>
      <xdr:colOff>109541</xdr:colOff>
      <xdr:row>33</xdr:row>
      <xdr:rowOff>14526</xdr:rowOff>
    </xdr:to>
    <xdr:grpSp>
      <xdr:nvGrpSpPr>
        <xdr:cNvPr id="62" name="Group 61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GrpSpPr/>
      </xdr:nvGrpSpPr>
      <xdr:grpSpPr>
        <a:xfrm flipH="1">
          <a:off x="6732825" y="5760402"/>
          <a:ext cx="304566" cy="362824"/>
          <a:chOff x="2332671" y="6377940"/>
          <a:chExt cx="228366" cy="375524"/>
        </a:xfrm>
      </xdr:grpSpPr>
      <xdr:grpSp>
        <xdr:nvGrpSpPr>
          <xdr:cNvPr id="63" name="Group 62">
            <a:extLst>
              <a:ext uri="{FF2B5EF4-FFF2-40B4-BE49-F238E27FC236}">
                <a16:creationId xmlns:a16="http://schemas.microsoft.com/office/drawing/2014/main" id="{00000000-0008-0000-0400-00003F000000}"/>
              </a:ext>
            </a:extLst>
          </xdr:cNvPr>
          <xdr:cNvGrpSpPr/>
        </xdr:nvGrpSpPr>
        <xdr:grpSpPr>
          <a:xfrm>
            <a:off x="2336244" y="6377940"/>
            <a:ext cx="224793" cy="219551"/>
            <a:chOff x="2333862" y="6389847"/>
            <a:chExt cx="224793" cy="219551"/>
          </a:xfrm>
        </xdr:grpSpPr>
        <xdr:sp macro="" textlink="">
          <xdr:nvSpPr>
            <xdr:cNvPr id="68" name="Isosceles Triangle 67">
              <a:extLst>
                <a:ext uri="{FF2B5EF4-FFF2-40B4-BE49-F238E27FC236}">
                  <a16:creationId xmlns:a16="http://schemas.microsoft.com/office/drawing/2014/main" id="{00000000-0008-0000-0400-000044000000}"/>
                </a:ext>
              </a:extLst>
            </xdr:cNvPr>
            <xdr:cNvSpPr/>
          </xdr:nvSpPr>
          <xdr:spPr>
            <a:xfrm rot="16200000">
              <a:off x="2418042" y="6302096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69" name="Isosceles Triangle 68">
              <a:extLst>
                <a:ext uri="{FF2B5EF4-FFF2-40B4-BE49-F238E27FC236}">
                  <a16:creationId xmlns:a16="http://schemas.microsoft.com/office/drawing/2014/main" id="{00000000-0008-0000-0400-000045000000}"/>
                </a:ext>
              </a:extLst>
            </xdr:cNvPr>
            <xdr:cNvSpPr/>
          </xdr:nvSpPr>
          <xdr:spPr>
            <a:xfrm rot="16200000">
              <a:off x="2421614" y="6359247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70" name="Isosceles Triangle 69">
              <a:extLst>
                <a:ext uri="{FF2B5EF4-FFF2-40B4-BE49-F238E27FC236}">
                  <a16:creationId xmlns:a16="http://schemas.microsoft.com/office/drawing/2014/main" id="{00000000-0008-0000-0400-000046000000}"/>
                </a:ext>
              </a:extLst>
            </xdr:cNvPr>
            <xdr:cNvSpPr/>
          </xdr:nvSpPr>
          <xdr:spPr>
            <a:xfrm rot="16200000">
              <a:off x="2421613" y="6418777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71" name="Isosceles Triangle 70">
              <a:extLst>
                <a:ext uri="{FF2B5EF4-FFF2-40B4-BE49-F238E27FC236}">
                  <a16:creationId xmlns:a16="http://schemas.microsoft.com/office/drawing/2014/main" id="{00000000-0008-0000-0400-000047000000}"/>
                </a:ext>
              </a:extLst>
            </xdr:cNvPr>
            <xdr:cNvSpPr/>
          </xdr:nvSpPr>
          <xdr:spPr>
            <a:xfrm rot="16200000">
              <a:off x="2419232" y="6475928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64" name="Group 63">
            <a:extLst>
              <a:ext uri="{FF2B5EF4-FFF2-40B4-BE49-F238E27FC236}">
                <a16:creationId xmlns:a16="http://schemas.microsoft.com/office/drawing/2014/main" id="{00000000-0008-0000-0400-000040000000}"/>
              </a:ext>
            </a:extLst>
          </xdr:cNvPr>
          <xdr:cNvGrpSpPr/>
        </xdr:nvGrpSpPr>
        <xdr:grpSpPr>
          <a:xfrm>
            <a:off x="2332671" y="6600589"/>
            <a:ext cx="223603" cy="152875"/>
            <a:chOff x="2332671" y="6600589"/>
            <a:chExt cx="223603" cy="152875"/>
          </a:xfrm>
        </xdr:grpSpPr>
        <xdr:sp macro="" textlink="">
          <xdr:nvSpPr>
            <xdr:cNvPr id="65" name="Isosceles Triangle 64">
              <a:extLst>
                <a:ext uri="{FF2B5EF4-FFF2-40B4-BE49-F238E27FC236}">
                  <a16:creationId xmlns:a16="http://schemas.microsoft.com/office/drawing/2014/main" id="{00000000-0008-0000-0400-000041000000}"/>
                </a:ext>
              </a:extLst>
            </xdr:cNvPr>
            <xdr:cNvSpPr/>
          </xdr:nvSpPr>
          <xdr:spPr>
            <a:xfrm rot="16200000">
              <a:off x="2422804" y="6568797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66" name="Isosceles Triangle 65">
              <a:extLst>
                <a:ext uri="{FF2B5EF4-FFF2-40B4-BE49-F238E27FC236}">
                  <a16:creationId xmlns:a16="http://schemas.microsoft.com/office/drawing/2014/main" id="{00000000-0008-0000-0400-000042000000}"/>
                </a:ext>
              </a:extLst>
            </xdr:cNvPr>
            <xdr:cNvSpPr/>
          </xdr:nvSpPr>
          <xdr:spPr>
            <a:xfrm rot="16200000">
              <a:off x="2420423" y="6619994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67" name="Isosceles Triangle 66">
              <a:extLst>
                <a:ext uri="{FF2B5EF4-FFF2-40B4-BE49-F238E27FC236}">
                  <a16:creationId xmlns:a16="http://schemas.microsoft.com/office/drawing/2014/main" id="{00000000-0008-0000-0400-000043000000}"/>
                </a:ext>
              </a:extLst>
            </xdr:cNvPr>
            <xdr:cNvSpPr/>
          </xdr:nvSpPr>
          <xdr:spPr>
            <a:xfrm rot="16200000">
              <a:off x="2420422" y="6512838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</xdr:grpSp>
    <xdr:clientData/>
  </xdr:twoCellAnchor>
  <xdr:twoCellAnchor>
    <xdr:from>
      <xdr:col>26</xdr:col>
      <xdr:colOff>57150</xdr:colOff>
      <xdr:row>17</xdr:row>
      <xdr:rowOff>161925</xdr:rowOff>
    </xdr:from>
    <xdr:to>
      <xdr:col>26</xdr:col>
      <xdr:colOff>57150</xdr:colOff>
      <xdr:row>19</xdr:row>
      <xdr:rowOff>29284</xdr:rowOff>
    </xdr:to>
    <xdr:cxnSp macro="">
      <xdr:nvCxnSpPr>
        <xdr:cNvPr id="73" name="Straight Arrow Connector 72">
          <a:extLst>
            <a:ext uri="{FF2B5EF4-FFF2-40B4-BE49-F238E27FC236}">
              <a16:creationId xmlns:a16="http://schemas.microsoft.com/office/drawing/2014/main" id="{00000000-0008-0000-0400-000049000000}"/>
            </a:ext>
          </a:extLst>
        </xdr:cNvPr>
        <xdr:cNvCxnSpPr/>
      </xdr:nvCxnSpPr>
      <xdr:spPr>
        <a:xfrm>
          <a:off x="4038600" y="3419475"/>
          <a:ext cx="0" cy="248359"/>
        </a:xfrm>
        <a:prstGeom prst="straightConnector1">
          <a:avLst/>
        </a:prstGeom>
        <a:ln>
          <a:solidFill>
            <a:srgbClr val="FFFF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57150</xdr:colOff>
      <xdr:row>29</xdr:row>
      <xdr:rowOff>19050</xdr:rowOff>
    </xdr:from>
    <xdr:to>
      <xdr:col>25</xdr:col>
      <xdr:colOff>57150</xdr:colOff>
      <xdr:row>31</xdr:row>
      <xdr:rowOff>28575</xdr:rowOff>
    </xdr:to>
    <xdr:cxnSp macro="">
      <xdr:nvCxnSpPr>
        <xdr:cNvPr id="74" name="Straight Arrow Connector 73">
          <a:extLst>
            <a:ext uri="{FF2B5EF4-FFF2-40B4-BE49-F238E27FC236}">
              <a16:creationId xmlns:a16="http://schemas.microsoft.com/office/drawing/2014/main" id="{00000000-0008-0000-0400-00004A000000}"/>
            </a:ext>
          </a:extLst>
        </xdr:cNvPr>
        <xdr:cNvCxnSpPr/>
      </xdr:nvCxnSpPr>
      <xdr:spPr>
        <a:xfrm>
          <a:off x="1276350" y="5562600"/>
          <a:ext cx="0" cy="3905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57150</xdr:colOff>
      <xdr:row>32</xdr:row>
      <xdr:rowOff>180975</xdr:rowOff>
    </xdr:from>
    <xdr:to>
      <xdr:col>25</xdr:col>
      <xdr:colOff>57150</xdr:colOff>
      <xdr:row>35</xdr:row>
      <xdr:rowOff>19050</xdr:rowOff>
    </xdr:to>
    <xdr:cxnSp macro="">
      <xdr:nvCxnSpPr>
        <xdr:cNvPr id="75" name="Straight Arrow Connector 74">
          <a:extLst>
            <a:ext uri="{FF2B5EF4-FFF2-40B4-BE49-F238E27FC236}">
              <a16:creationId xmlns:a16="http://schemas.microsoft.com/office/drawing/2014/main" id="{00000000-0008-0000-0400-00004B000000}"/>
            </a:ext>
          </a:extLst>
        </xdr:cNvPr>
        <xdr:cNvCxnSpPr/>
      </xdr:nvCxnSpPr>
      <xdr:spPr>
        <a:xfrm>
          <a:off x="1276350" y="6296025"/>
          <a:ext cx="0" cy="4095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27622</xdr:colOff>
      <xdr:row>32</xdr:row>
      <xdr:rowOff>50960</xdr:rowOff>
    </xdr:from>
    <xdr:to>
      <xdr:col>23</xdr:col>
      <xdr:colOff>123827</xdr:colOff>
      <xdr:row>32</xdr:row>
      <xdr:rowOff>96679</xdr:rowOff>
    </xdr:to>
    <xdr:sp macro="" textlink="">
      <xdr:nvSpPr>
        <xdr:cNvPr id="76" name="Isosceles Triangle 75">
          <a:extLst>
            <a:ext uri="{FF2B5EF4-FFF2-40B4-BE49-F238E27FC236}">
              <a16:creationId xmlns:a16="http://schemas.microsoft.com/office/drawing/2014/main" id="{00000000-0008-0000-0400-00004C000000}"/>
            </a:ext>
          </a:extLst>
        </xdr:cNvPr>
        <xdr:cNvSpPr/>
      </xdr:nvSpPr>
      <xdr:spPr>
        <a:xfrm rot="16200000">
          <a:off x="448152" y="6078855"/>
          <a:ext cx="45719" cy="220030"/>
        </a:xfrm>
        <a:prstGeom prst="triangl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26431</xdr:colOff>
      <xdr:row>31</xdr:row>
      <xdr:rowOff>16431</xdr:rowOff>
    </xdr:from>
    <xdr:to>
      <xdr:col>23</xdr:col>
      <xdr:colOff>127399</xdr:colOff>
      <xdr:row>32</xdr:row>
      <xdr:rowOff>189548</xdr:rowOff>
    </xdr:to>
    <xdr:grpSp>
      <xdr:nvGrpSpPr>
        <xdr:cNvPr id="77" name="Group 76">
          <a:extLst>
            <a:ext uri="{FF2B5EF4-FFF2-40B4-BE49-F238E27FC236}">
              <a16:creationId xmlns:a16="http://schemas.microsoft.com/office/drawing/2014/main" id="{00000000-0008-0000-0400-00004D000000}"/>
            </a:ext>
          </a:extLst>
        </xdr:cNvPr>
        <xdr:cNvGrpSpPr/>
      </xdr:nvGrpSpPr>
      <xdr:grpSpPr>
        <a:xfrm>
          <a:off x="5887481" y="5756831"/>
          <a:ext cx="227968" cy="350917"/>
          <a:chOff x="359806" y="5945744"/>
          <a:chExt cx="225984" cy="363617"/>
        </a:xfrm>
      </xdr:grpSpPr>
      <xdr:grpSp>
        <xdr:nvGrpSpPr>
          <xdr:cNvPr id="78" name="Group 77">
            <a:extLst>
              <a:ext uri="{FF2B5EF4-FFF2-40B4-BE49-F238E27FC236}">
                <a16:creationId xmlns:a16="http://schemas.microsoft.com/office/drawing/2014/main" id="{00000000-0008-0000-0400-00004E000000}"/>
              </a:ext>
            </a:extLst>
          </xdr:cNvPr>
          <xdr:cNvGrpSpPr/>
        </xdr:nvGrpSpPr>
        <xdr:grpSpPr>
          <a:xfrm>
            <a:off x="359806" y="5945744"/>
            <a:ext cx="224793" cy="219551"/>
            <a:chOff x="359806" y="5945744"/>
            <a:chExt cx="224793" cy="219551"/>
          </a:xfrm>
        </xdr:grpSpPr>
        <xdr:sp macro="" textlink="">
          <xdr:nvSpPr>
            <xdr:cNvPr id="82" name="Isosceles Triangle 81">
              <a:extLst>
                <a:ext uri="{FF2B5EF4-FFF2-40B4-BE49-F238E27FC236}">
                  <a16:creationId xmlns:a16="http://schemas.microsoft.com/office/drawing/2014/main" id="{00000000-0008-0000-0400-000052000000}"/>
                </a:ext>
              </a:extLst>
            </xdr:cNvPr>
            <xdr:cNvSpPr/>
          </xdr:nvSpPr>
          <xdr:spPr>
            <a:xfrm rot="16200000">
              <a:off x="449939" y="5857993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83" name="Isosceles Triangle 82">
              <a:extLst>
                <a:ext uri="{FF2B5EF4-FFF2-40B4-BE49-F238E27FC236}">
                  <a16:creationId xmlns:a16="http://schemas.microsoft.com/office/drawing/2014/main" id="{00000000-0008-0000-0400-000053000000}"/>
                </a:ext>
              </a:extLst>
            </xdr:cNvPr>
            <xdr:cNvSpPr/>
          </xdr:nvSpPr>
          <xdr:spPr>
            <a:xfrm rot="16200000">
              <a:off x="447558" y="5915144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84" name="Isosceles Triangle 83">
              <a:extLst>
                <a:ext uri="{FF2B5EF4-FFF2-40B4-BE49-F238E27FC236}">
                  <a16:creationId xmlns:a16="http://schemas.microsoft.com/office/drawing/2014/main" id="{00000000-0008-0000-0400-000054000000}"/>
                </a:ext>
              </a:extLst>
            </xdr:cNvPr>
            <xdr:cNvSpPr/>
          </xdr:nvSpPr>
          <xdr:spPr>
            <a:xfrm rot="16200000">
              <a:off x="447557" y="5974674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85" name="Isosceles Triangle 84">
              <a:extLst>
                <a:ext uri="{FF2B5EF4-FFF2-40B4-BE49-F238E27FC236}">
                  <a16:creationId xmlns:a16="http://schemas.microsoft.com/office/drawing/2014/main" id="{00000000-0008-0000-0400-000055000000}"/>
                </a:ext>
              </a:extLst>
            </xdr:cNvPr>
            <xdr:cNvSpPr/>
          </xdr:nvSpPr>
          <xdr:spPr>
            <a:xfrm rot="16200000">
              <a:off x="451129" y="6031825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79" name="Group 78">
            <a:extLst>
              <a:ext uri="{FF2B5EF4-FFF2-40B4-BE49-F238E27FC236}">
                <a16:creationId xmlns:a16="http://schemas.microsoft.com/office/drawing/2014/main" id="{00000000-0008-0000-0400-00004F000000}"/>
              </a:ext>
            </a:extLst>
          </xdr:cNvPr>
          <xdr:cNvGrpSpPr/>
        </xdr:nvGrpSpPr>
        <xdr:grpSpPr>
          <a:xfrm>
            <a:off x="360997" y="6212445"/>
            <a:ext cx="224793" cy="96916"/>
            <a:chOff x="360997" y="6212445"/>
            <a:chExt cx="224793" cy="96916"/>
          </a:xfrm>
        </xdr:grpSpPr>
        <xdr:sp macro="" textlink="">
          <xdr:nvSpPr>
            <xdr:cNvPr id="80" name="Isosceles Triangle 79">
              <a:extLst>
                <a:ext uri="{FF2B5EF4-FFF2-40B4-BE49-F238E27FC236}">
                  <a16:creationId xmlns:a16="http://schemas.microsoft.com/office/drawing/2014/main" id="{00000000-0008-0000-0400-000050000000}"/>
                </a:ext>
              </a:extLst>
            </xdr:cNvPr>
            <xdr:cNvSpPr/>
          </xdr:nvSpPr>
          <xdr:spPr>
            <a:xfrm rot="16200000">
              <a:off x="448748" y="6124694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81" name="Isosceles Triangle 80">
              <a:extLst>
                <a:ext uri="{FF2B5EF4-FFF2-40B4-BE49-F238E27FC236}">
                  <a16:creationId xmlns:a16="http://schemas.microsoft.com/office/drawing/2014/main" id="{00000000-0008-0000-0400-000051000000}"/>
                </a:ext>
              </a:extLst>
            </xdr:cNvPr>
            <xdr:cNvSpPr/>
          </xdr:nvSpPr>
          <xdr:spPr>
            <a:xfrm rot="16200000">
              <a:off x="452320" y="6175891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</xdr:grpSp>
    <xdr:clientData/>
  </xdr:twoCellAnchor>
  <xdr:twoCellAnchor>
    <xdr:from>
      <xdr:col>24</xdr:col>
      <xdr:colOff>605075</xdr:colOff>
      <xdr:row>31</xdr:row>
      <xdr:rowOff>20002</xdr:rowOff>
    </xdr:from>
    <xdr:to>
      <xdr:col>26</xdr:col>
      <xdr:colOff>109541</xdr:colOff>
      <xdr:row>33</xdr:row>
      <xdr:rowOff>14526</xdr:rowOff>
    </xdr:to>
    <xdr:grpSp>
      <xdr:nvGrpSpPr>
        <xdr:cNvPr id="86" name="Group 85">
          <a:extLst>
            <a:ext uri="{FF2B5EF4-FFF2-40B4-BE49-F238E27FC236}">
              <a16:creationId xmlns:a16="http://schemas.microsoft.com/office/drawing/2014/main" id="{00000000-0008-0000-0400-000056000000}"/>
            </a:ext>
          </a:extLst>
        </xdr:cNvPr>
        <xdr:cNvGrpSpPr/>
      </xdr:nvGrpSpPr>
      <xdr:grpSpPr>
        <a:xfrm flipH="1">
          <a:off x="6732825" y="5760402"/>
          <a:ext cx="304566" cy="362824"/>
          <a:chOff x="2332671" y="6377940"/>
          <a:chExt cx="228366" cy="375524"/>
        </a:xfrm>
      </xdr:grpSpPr>
      <xdr:grpSp>
        <xdr:nvGrpSpPr>
          <xdr:cNvPr id="87" name="Group 86">
            <a:extLst>
              <a:ext uri="{FF2B5EF4-FFF2-40B4-BE49-F238E27FC236}">
                <a16:creationId xmlns:a16="http://schemas.microsoft.com/office/drawing/2014/main" id="{00000000-0008-0000-0400-000057000000}"/>
              </a:ext>
            </a:extLst>
          </xdr:cNvPr>
          <xdr:cNvGrpSpPr/>
        </xdr:nvGrpSpPr>
        <xdr:grpSpPr>
          <a:xfrm>
            <a:off x="2336244" y="6377940"/>
            <a:ext cx="224793" cy="219551"/>
            <a:chOff x="2333862" y="6389847"/>
            <a:chExt cx="224793" cy="219551"/>
          </a:xfrm>
        </xdr:grpSpPr>
        <xdr:sp macro="" textlink="">
          <xdr:nvSpPr>
            <xdr:cNvPr id="92" name="Isosceles Triangle 91">
              <a:extLst>
                <a:ext uri="{FF2B5EF4-FFF2-40B4-BE49-F238E27FC236}">
                  <a16:creationId xmlns:a16="http://schemas.microsoft.com/office/drawing/2014/main" id="{00000000-0008-0000-0400-00005C000000}"/>
                </a:ext>
              </a:extLst>
            </xdr:cNvPr>
            <xdr:cNvSpPr/>
          </xdr:nvSpPr>
          <xdr:spPr>
            <a:xfrm rot="16200000">
              <a:off x="2418042" y="6302096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93" name="Isosceles Triangle 92">
              <a:extLst>
                <a:ext uri="{FF2B5EF4-FFF2-40B4-BE49-F238E27FC236}">
                  <a16:creationId xmlns:a16="http://schemas.microsoft.com/office/drawing/2014/main" id="{00000000-0008-0000-0400-00005D000000}"/>
                </a:ext>
              </a:extLst>
            </xdr:cNvPr>
            <xdr:cNvSpPr/>
          </xdr:nvSpPr>
          <xdr:spPr>
            <a:xfrm rot="16200000">
              <a:off x="2421614" y="6359247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94" name="Isosceles Triangle 93">
              <a:extLst>
                <a:ext uri="{FF2B5EF4-FFF2-40B4-BE49-F238E27FC236}">
                  <a16:creationId xmlns:a16="http://schemas.microsoft.com/office/drawing/2014/main" id="{00000000-0008-0000-0400-00005E000000}"/>
                </a:ext>
              </a:extLst>
            </xdr:cNvPr>
            <xdr:cNvSpPr/>
          </xdr:nvSpPr>
          <xdr:spPr>
            <a:xfrm rot="16200000">
              <a:off x="2421613" y="6418777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95" name="Isosceles Triangle 94">
              <a:extLst>
                <a:ext uri="{FF2B5EF4-FFF2-40B4-BE49-F238E27FC236}">
                  <a16:creationId xmlns:a16="http://schemas.microsoft.com/office/drawing/2014/main" id="{00000000-0008-0000-0400-00005F000000}"/>
                </a:ext>
              </a:extLst>
            </xdr:cNvPr>
            <xdr:cNvSpPr/>
          </xdr:nvSpPr>
          <xdr:spPr>
            <a:xfrm rot="16200000">
              <a:off x="2419232" y="6475928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88" name="Group 87">
            <a:extLst>
              <a:ext uri="{FF2B5EF4-FFF2-40B4-BE49-F238E27FC236}">
                <a16:creationId xmlns:a16="http://schemas.microsoft.com/office/drawing/2014/main" id="{00000000-0008-0000-0400-000058000000}"/>
              </a:ext>
            </a:extLst>
          </xdr:cNvPr>
          <xdr:cNvGrpSpPr/>
        </xdr:nvGrpSpPr>
        <xdr:grpSpPr>
          <a:xfrm>
            <a:off x="2332671" y="6600589"/>
            <a:ext cx="223603" cy="152875"/>
            <a:chOff x="2332671" y="6600589"/>
            <a:chExt cx="223603" cy="152875"/>
          </a:xfrm>
        </xdr:grpSpPr>
        <xdr:sp macro="" textlink="">
          <xdr:nvSpPr>
            <xdr:cNvPr id="89" name="Isosceles Triangle 88">
              <a:extLst>
                <a:ext uri="{FF2B5EF4-FFF2-40B4-BE49-F238E27FC236}">
                  <a16:creationId xmlns:a16="http://schemas.microsoft.com/office/drawing/2014/main" id="{00000000-0008-0000-0400-000059000000}"/>
                </a:ext>
              </a:extLst>
            </xdr:cNvPr>
            <xdr:cNvSpPr/>
          </xdr:nvSpPr>
          <xdr:spPr>
            <a:xfrm rot="16200000">
              <a:off x="2422804" y="6568797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90" name="Isosceles Triangle 89">
              <a:extLst>
                <a:ext uri="{FF2B5EF4-FFF2-40B4-BE49-F238E27FC236}">
                  <a16:creationId xmlns:a16="http://schemas.microsoft.com/office/drawing/2014/main" id="{00000000-0008-0000-0400-00005A000000}"/>
                </a:ext>
              </a:extLst>
            </xdr:cNvPr>
            <xdr:cNvSpPr/>
          </xdr:nvSpPr>
          <xdr:spPr>
            <a:xfrm rot="16200000">
              <a:off x="2420423" y="6619994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91" name="Isosceles Triangle 90">
              <a:extLst>
                <a:ext uri="{FF2B5EF4-FFF2-40B4-BE49-F238E27FC236}">
                  <a16:creationId xmlns:a16="http://schemas.microsoft.com/office/drawing/2014/main" id="{00000000-0008-0000-0400-00005B000000}"/>
                </a:ext>
              </a:extLst>
            </xdr:cNvPr>
            <xdr:cNvSpPr/>
          </xdr:nvSpPr>
          <xdr:spPr>
            <a:xfrm rot="16200000">
              <a:off x="2420422" y="6512838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</xdr:grpSp>
    <xdr:clientData/>
  </xdr:twoCellAnchor>
  <xdr:twoCellAnchor>
    <xdr:from>
      <xdr:col>26</xdr:col>
      <xdr:colOff>66675</xdr:colOff>
      <xdr:row>19</xdr:row>
      <xdr:rowOff>123825</xdr:rowOff>
    </xdr:from>
    <xdr:to>
      <xdr:col>26</xdr:col>
      <xdr:colOff>66675</xdr:colOff>
      <xdr:row>21</xdr:row>
      <xdr:rowOff>10234</xdr:rowOff>
    </xdr:to>
    <xdr:cxnSp macro="">
      <xdr:nvCxnSpPr>
        <xdr:cNvPr id="97" name="Straight Arrow Connector 96">
          <a:extLst>
            <a:ext uri="{FF2B5EF4-FFF2-40B4-BE49-F238E27FC236}">
              <a16:creationId xmlns:a16="http://schemas.microsoft.com/office/drawing/2014/main" id="{00000000-0008-0000-0400-000061000000}"/>
            </a:ext>
          </a:extLst>
        </xdr:cNvPr>
        <xdr:cNvCxnSpPr/>
      </xdr:nvCxnSpPr>
      <xdr:spPr>
        <a:xfrm>
          <a:off x="4048125" y="3762375"/>
          <a:ext cx="0" cy="267409"/>
        </a:xfrm>
        <a:prstGeom prst="straightConnector1">
          <a:avLst/>
        </a:prstGeom>
        <a:ln>
          <a:solidFill>
            <a:srgbClr val="FFFF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28575</xdr:colOff>
      <xdr:row>19</xdr:row>
      <xdr:rowOff>9525</xdr:rowOff>
    </xdr:from>
    <xdr:to>
      <xdr:col>25</xdr:col>
      <xdr:colOff>104775</xdr:colOff>
      <xdr:row>19</xdr:row>
      <xdr:rowOff>171450</xdr:rowOff>
    </xdr:to>
    <xdr:sp macro="" textlink="">
      <xdr:nvSpPr>
        <xdr:cNvPr id="98" name="Flowchart: Collate 97">
          <a:extLst>
            <a:ext uri="{FF2B5EF4-FFF2-40B4-BE49-F238E27FC236}">
              <a16:creationId xmlns:a16="http://schemas.microsoft.com/office/drawing/2014/main" id="{00000000-0008-0000-0400-000062000000}"/>
            </a:ext>
          </a:extLst>
        </xdr:cNvPr>
        <xdr:cNvSpPr/>
      </xdr:nvSpPr>
      <xdr:spPr>
        <a:xfrm>
          <a:off x="3114675" y="3648075"/>
          <a:ext cx="838200" cy="161925"/>
        </a:xfrm>
        <a:prstGeom prst="flowChartCollate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35</xdr:col>
      <xdr:colOff>57150</xdr:colOff>
      <xdr:row>29</xdr:row>
      <xdr:rowOff>19050</xdr:rowOff>
    </xdr:from>
    <xdr:to>
      <xdr:col>35</xdr:col>
      <xdr:colOff>57150</xdr:colOff>
      <xdr:row>31</xdr:row>
      <xdr:rowOff>28575</xdr:rowOff>
    </xdr:to>
    <xdr:cxnSp macro="">
      <xdr:nvCxnSpPr>
        <xdr:cNvPr id="101" name="Straight Arrow Connector 100">
          <a:extLst>
            <a:ext uri="{FF2B5EF4-FFF2-40B4-BE49-F238E27FC236}">
              <a16:creationId xmlns:a16="http://schemas.microsoft.com/office/drawing/2014/main" id="{00000000-0008-0000-0400-000065000000}"/>
            </a:ext>
          </a:extLst>
        </xdr:cNvPr>
        <xdr:cNvCxnSpPr/>
      </xdr:nvCxnSpPr>
      <xdr:spPr>
        <a:xfrm>
          <a:off x="3905250" y="5562600"/>
          <a:ext cx="0" cy="3905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57150</xdr:colOff>
      <xdr:row>32</xdr:row>
      <xdr:rowOff>180975</xdr:rowOff>
    </xdr:from>
    <xdr:to>
      <xdr:col>35</xdr:col>
      <xdr:colOff>57150</xdr:colOff>
      <xdr:row>35</xdr:row>
      <xdr:rowOff>19050</xdr:rowOff>
    </xdr:to>
    <xdr:cxnSp macro="">
      <xdr:nvCxnSpPr>
        <xdr:cNvPr id="102" name="Straight Arrow Connector 101">
          <a:extLst>
            <a:ext uri="{FF2B5EF4-FFF2-40B4-BE49-F238E27FC236}">
              <a16:creationId xmlns:a16="http://schemas.microsoft.com/office/drawing/2014/main" id="{00000000-0008-0000-0400-000066000000}"/>
            </a:ext>
          </a:extLst>
        </xdr:cNvPr>
        <xdr:cNvCxnSpPr/>
      </xdr:nvCxnSpPr>
      <xdr:spPr>
        <a:xfrm>
          <a:off x="3905250" y="6296025"/>
          <a:ext cx="0" cy="4095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27622</xdr:colOff>
      <xdr:row>32</xdr:row>
      <xdr:rowOff>50960</xdr:rowOff>
    </xdr:from>
    <xdr:to>
      <xdr:col>33</xdr:col>
      <xdr:colOff>123827</xdr:colOff>
      <xdr:row>32</xdr:row>
      <xdr:rowOff>96679</xdr:rowOff>
    </xdr:to>
    <xdr:sp macro="" textlink="">
      <xdr:nvSpPr>
        <xdr:cNvPr id="103" name="Isosceles Triangle 102">
          <a:extLst>
            <a:ext uri="{FF2B5EF4-FFF2-40B4-BE49-F238E27FC236}">
              <a16:creationId xmlns:a16="http://schemas.microsoft.com/office/drawing/2014/main" id="{00000000-0008-0000-0400-000067000000}"/>
            </a:ext>
          </a:extLst>
        </xdr:cNvPr>
        <xdr:cNvSpPr/>
      </xdr:nvSpPr>
      <xdr:spPr>
        <a:xfrm rot="16200000">
          <a:off x="3077052" y="6078855"/>
          <a:ext cx="45719" cy="220030"/>
        </a:xfrm>
        <a:prstGeom prst="triangl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26431</xdr:colOff>
      <xdr:row>31</xdr:row>
      <xdr:rowOff>16431</xdr:rowOff>
    </xdr:from>
    <xdr:to>
      <xdr:col>33</xdr:col>
      <xdr:colOff>127399</xdr:colOff>
      <xdr:row>32</xdr:row>
      <xdr:rowOff>189548</xdr:rowOff>
    </xdr:to>
    <xdr:grpSp>
      <xdr:nvGrpSpPr>
        <xdr:cNvPr id="104" name="Group 103">
          <a:extLst>
            <a:ext uri="{FF2B5EF4-FFF2-40B4-BE49-F238E27FC236}">
              <a16:creationId xmlns:a16="http://schemas.microsoft.com/office/drawing/2014/main" id="{00000000-0008-0000-0400-000068000000}"/>
            </a:ext>
          </a:extLst>
        </xdr:cNvPr>
        <xdr:cNvGrpSpPr/>
      </xdr:nvGrpSpPr>
      <xdr:grpSpPr>
        <a:xfrm>
          <a:off x="8643381" y="5756831"/>
          <a:ext cx="227968" cy="350917"/>
          <a:chOff x="359806" y="5945744"/>
          <a:chExt cx="225984" cy="363617"/>
        </a:xfrm>
      </xdr:grpSpPr>
      <xdr:grpSp>
        <xdr:nvGrpSpPr>
          <xdr:cNvPr id="105" name="Group 104">
            <a:extLst>
              <a:ext uri="{FF2B5EF4-FFF2-40B4-BE49-F238E27FC236}">
                <a16:creationId xmlns:a16="http://schemas.microsoft.com/office/drawing/2014/main" id="{00000000-0008-0000-0400-000069000000}"/>
              </a:ext>
            </a:extLst>
          </xdr:cNvPr>
          <xdr:cNvGrpSpPr/>
        </xdr:nvGrpSpPr>
        <xdr:grpSpPr>
          <a:xfrm>
            <a:off x="359806" y="5945744"/>
            <a:ext cx="224793" cy="219551"/>
            <a:chOff x="359806" y="5945744"/>
            <a:chExt cx="224793" cy="219551"/>
          </a:xfrm>
        </xdr:grpSpPr>
        <xdr:sp macro="" textlink="">
          <xdr:nvSpPr>
            <xdr:cNvPr id="109" name="Isosceles Triangle 108">
              <a:extLst>
                <a:ext uri="{FF2B5EF4-FFF2-40B4-BE49-F238E27FC236}">
                  <a16:creationId xmlns:a16="http://schemas.microsoft.com/office/drawing/2014/main" id="{00000000-0008-0000-0400-00006D000000}"/>
                </a:ext>
              </a:extLst>
            </xdr:cNvPr>
            <xdr:cNvSpPr/>
          </xdr:nvSpPr>
          <xdr:spPr>
            <a:xfrm rot="16200000">
              <a:off x="449939" y="5857993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10" name="Isosceles Triangle 109">
              <a:extLst>
                <a:ext uri="{FF2B5EF4-FFF2-40B4-BE49-F238E27FC236}">
                  <a16:creationId xmlns:a16="http://schemas.microsoft.com/office/drawing/2014/main" id="{00000000-0008-0000-0400-00006E000000}"/>
                </a:ext>
              </a:extLst>
            </xdr:cNvPr>
            <xdr:cNvSpPr/>
          </xdr:nvSpPr>
          <xdr:spPr>
            <a:xfrm rot="16200000">
              <a:off x="447558" y="5915144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11" name="Isosceles Triangle 110">
              <a:extLst>
                <a:ext uri="{FF2B5EF4-FFF2-40B4-BE49-F238E27FC236}">
                  <a16:creationId xmlns:a16="http://schemas.microsoft.com/office/drawing/2014/main" id="{00000000-0008-0000-0400-00006F000000}"/>
                </a:ext>
              </a:extLst>
            </xdr:cNvPr>
            <xdr:cNvSpPr/>
          </xdr:nvSpPr>
          <xdr:spPr>
            <a:xfrm rot="16200000">
              <a:off x="447557" y="5974674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12" name="Isosceles Triangle 111">
              <a:extLst>
                <a:ext uri="{FF2B5EF4-FFF2-40B4-BE49-F238E27FC236}">
                  <a16:creationId xmlns:a16="http://schemas.microsoft.com/office/drawing/2014/main" id="{00000000-0008-0000-0400-000070000000}"/>
                </a:ext>
              </a:extLst>
            </xdr:cNvPr>
            <xdr:cNvSpPr/>
          </xdr:nvSpPr>
          <xdr:spPr>
            <a:xfrm rot="16200000">
              <a:off x="451129" y="6031825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106" name="Group 105">
            <a:extLst>
              <a:ext uri="{FF2B5EF4-FFF2-40B4-BE49-F238E27FC236}">
                <a16:creationId xmlns:a16="http://schemas.microsoft.com/office/drawing/2014/main" id="{00000000-0008-0000-0400-00006A000000}"/>
              </a:ext>
            </a:extLst>
          </xdr:cNvPr>
          <xdr:cNvGrpSpPr/>
        </xdr:nvGrpSpPr>
        <xdr:grpSpPr>
          <a:xfrm>
            <a:off x="360997" y="6212445"/>
            <a:ext cx="224793" cy="96916"/>
            <a:chOff x="360997" y="6212445"/>
            <a:chExt cx="224793" cy="96916"/>
          </a:xfrm>
        </xdr:grpSpPr>
        <xdr:sp macro="" textlink="">
          <xdr:nvSpPr>
            <xdr:cNvPr id="107" name="Isosceles Triangle 106">
              <a:extLst>
                <a:ext uri="{FF2B5EF4-FFF2-40B4-BE49-F238E27FC236}">
                  <a16:creationId xmlns:a16="http://schemas.microsoft.com/office/drawing/2014/main" id="{00000000-0008-0000-0400-00006B000000}"/>
                </a:ext>
              </a:extLst>
            </xdr:cNvPr>
            <xdr:cNvSpPr/>
          </xdr:nvSpPr>
          <xdr:spPr>
            <a:xfrm rot="16200000">
              <a:off x="448748" y="6124694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08" name="Isosceles Triangle 107">
              <a:extLst>
                <a:ext uri="{FF2B5EF4-FFF2-40B4-BE49-F238E27FC236}">
                  <a16:creationId xmlns:a16="http://schemas.microsoft.com/office/drawing/2014/main" id="{00000000-0008-0000-0400-00006C000000}"/>
                </a:ext>
              </a:extLst>
            </xdr:cNvPr>
            <xdr:cNvSpPr/>
          </xdr:nvSpPr>
          <xdr:spPr>
            <a:xfrm rot="16200000">
              <a:off x="452320" y="6175891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</xdr:grpSp>
    <xdr:clientData/>
  </xdr:twoCellAnchor>
  <xdr:twoCellAnchor>
    <xdr:from>
      <xdr:col>34</xdr:col>
      <xdr:colOff>605075</xdr:colOff>
      <xdr:row>31</xdr:row>
      <xdr:rowOff>20002</xdr:rowOff>
    </xdr:from>
    <xdr:to>
      <xdr:col>36</xdr:col>
      <xdr:colOff>109541</xdr:colOff>
      <xdr:row>33</xdr:row>
      <xdr:rowOff>14526</xdr:rowOff>
    </xdr:to>
    <xdr:grpSp>
      <xdr:nvGrpSpPr>
        <xdr:cNvPr id="113" name="Group 112">
          <a:extLst>
            <a:ext uri="{FF2B5EF4-FFF2-40B4-BE49-F238E27FC236}">
              <a16:creationId xmlns:a16="http://schemas.microsoft.com/office/drawing/2014/main" id="{00000000-0008-0000-0400-000071000000}"/>
            </a:ext>
          </a:extLst>
        </xdr:cNvPr>
        <xdr:cNvGrpSpPr/>
      </xdr:nvGrpSpPr>
      <xdr:grpSpPr>
        <a:xfrm flipH="1">
          <a:off x="9488725" y="5760402"/>
          <a:ext cx="304566" cy="362824"/>
          <a:chOff x="2332671" y="6377940"/>
          <a:chExt cx="228366" cy="375524"/>
        </a:xfrm>
      </xdr:grpSpPr>
      <xdr:grpSp>
        <xdr:nvGrpSpPr>
          <xdr:cNvPr id="114" name="Group 113">
            <a:extLst>
              <a:ext uri="{FF2B5EF4-FFF2-40B4-BE49-F238E27FC236}">
                <a16:creationId xmlns:a16="http://schemas.microsoft.com/office/drawing/2014/main" id="{00000000-0008-0000-0400-000072000000}"/>
              </a:ext>
            </a:extLst>
          </xdr:cNvPr>
          <xdr:cNvGrpSpPr/>
        </xdr:nvGrpSpPr>
        <xdr:grpSpPr>
          <a:xfrm>
            <a:off x="2336244" y="6377940"/>
            <a:ext cx="224793" cy="219551"/>
            <a:chOff x="2333862" y="6389847"/>
            <a:chExt cx="224793" cy="219551"/>
          </a:xfrm>
        </xdr:grpSpPr>
        <xdr:sp macro="" textlink="">
          <xdr:nvSpPr>
            <xdr:cNvPr id="119" name="Isosceles Triangle 118">
              <a:extLst>
                <a:ext uri="{FF2B5EF4-FFF2-40B4-BE49-F238E27FC236}">
                  <a16:creationId xmlns:a16="http://schemas.microsoft.com/office/drawing/2014/main" id="{00000000-0008-0000-0400-000077000000}"/>
                </a:ext>
              </a:extLst>
            </xdr:cNvPr>
            <xdr:cNvSpPr/>
          </xdr:nvSpPr>
          <xdr:spPr>
            <a:xfrm rot="16200000">
              <a:off x="2418042" y="6302096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20" name="Isosceles Triangle 119">
              <a:extLst>
                <a:ext uri="{FF2B5EF4-FFF2-40B4-BE49-F238E27FC236}">
                  <a16:creationId xmlns:a16="http://schemas.microsoft.com/office/drawing/2014/main" id="{00000000-0008-0000-0400-000078000000}"/>
                </a:ext>
              </a:extLst>
            </xdr:cNvPr>
            <xdr:cNvSpPr/>
          </xdr:nvSpPr>
          <xdr:spPr>
            <a:xfrm rot="16200000">
              <a:off x="2421614" y="6359247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21" name="Isosceles Triangle 120">
              <a:extLst>
                <a:ext uri="{FF2B5EF4-FFF2-40B4-BE49-F238E27FC236}">
                  <a16:creationId xmlns:a16="http://schemas.microsoft.com/office/drawing/2014/main" id="{00000000-0008-0000-0400-000079000000}"/>
                </a:ext>
              </a:extLst>
            </xdr:cNvPr>
            <xdr:cNvSpPr/>
          </xdr:nvSpPr>
          <xdr:spPr>
            <a:xfrm rot="16200000">
              <a:off x="2421613" y="6418777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22" name="Isosceles Triangle 121">
              <a:extLst>
                <a:ext uri="{FF2B5EF4-FFF2-40B4-BE49-F238E27FC236}">
                  <a16:creationId xmlns:a16="http://schemas.microsoft.com/office/drawing/2014/main" id="{00000000-0008-0000-0400-00007A000000}"/>
                </a:ext>
              </a:extLst>
            </xdr:cNvPr>
            <xdr:cNvSpPr/>
          </xdr:nvSpPr>
          <xdr:spPr>
            <a:xfrm rot="16200000">
              <a:off x="2419232" y="6475928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115" name="Group 114">
            <a:extLst>
              <a:ext uri="{FF2B5EF4-FFF2-40B4-BE49-F238E27FC236}">
                <a16:creationId xmlns:a16="http://schemas.microsoft.com/office/drawing/2014/main" id="{00000000-0008-0000-0400-000073000000}"/>
              </a:ext>
            </a:extLst>
          </xdr:cNvPr>
          <xdr:cNvGrpSpPr/>
        </xdr:nvGrpSpPr>
        <xdr:grpSpPr>
          <a:xfrm>
            <a:off x="2332671" y="6600589"/>
            <a:ext cx="223603" cy="152875"/>
            <a:chOff x="2332671" y="6600589"/>
            <a:chExt cx="223603" cy="152875"/>
          </a:xfrm>
        </xdr:grpSpPr>
        <xdr:sp macro="" textlink="">
          <xdr:nvSpPr>
            <xdr:cNvPr id="116" name="Isosceles Triangle 115">
              <a:extLst>
                <a:ext uri="{FF2B5EF4-FFF2-40B4-BE49-F238E27FC236}">
                  <a16:creationId xmlns:a16="http://schemas.microsoft.com/office/drawing/2014/main" id="{00000000-0008-0000-0400-000074000000}"/>
                </a:ext>
              </a:extLst>
            </xdr:cNvPr>
            <xdr:cNvSpPr/>
          </xdr:nvSpPr>
          <xdr:spPr>
            <a:xfrm rot="16200000">
              <a:off x="2422804" y="6568797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17" name="Isosceles Triangle 116">
              <a:extLst>
                <a:ext uri="{FF2B5EF4-FFF2-40B4-BE49-F238E27FC236}">
                  <a16:creationId xmlns:a16="http://schemas.microsoft.com/office/drawing/2014/main" id="{00000000-0008-0000-0400-000075000000}"/>
                </a:ext>
              </a:extLst>
            </xdr:cNvPr>
            <xdr:cNvSpPr/>
          </xdr:nvSpPr>
          <xdr:spPr>
            <a:xfrm rot="16200000">
              <a:off x="2420423" y="6619994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18" name="Isosceles Triangle 117">
              <a:extLst>
                <a:ext uri="{FF2B5EF4-FFF2-40B4-BE49-F238E27FC236}">
                  <a16:creationId xmlns:a16="http://schemas.microsoft.com/office/drawing/2014/main" id="{00000000-0008-0000-0400-000076000000}"/>
                </a:ext>
              </a:extLst>
            </xdr:cNvPr>
            <xdr:cNvSpPr/>
          </xdr:nvSpPr>
          <xdr:spPr>
            <a:xfrm rot="16200000">
              <a:off x="2420422" y="6512838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</xdr:grpSp>
    <xdr:clientData/>
  </xdr:twoCellAnchor>
  <xdr:twoCellAnchor>
    <xdr:from>
      <xdr:col>36</xdr:col>
      <xdr:colOff>57150</xdr:colOff>
      <xdr:row>15</xdr:row>
      <xdr:rowOff>0</xdr:rowOff>
    </xdr:from>
    <xdr:to>
      <xdr:col>36</xdr:col>
      <xdr:colOff>57150</xdr:colOff>
      <xdr:row>19</xdr:row>
      <xdr:rowOff>29284</xdr:rowOff>
    </xdr:to>
    <xdr:cxnSp macro="">
      <xdr:nvCxnSpPr>
        <xdr:cNvPr id="123" name="Straight Arrow Connector 122">
          <a:extLst>
            <a:ext uri="{FF2B5EF4-FFF2-40B4-BE49-F238E27FC236}">
              <a16:creationId xmlns:a16="http://schemas.microsoft.com/office/drawing/2014/main" id="{00000000-0008-0000-0400-00007B000000}"/>
            </a:ext>
          </a:extLst>
        </xdr:cNvPr>
        <xdr:cNvCxnSpPr/>
      </xdr:nvCxnSpPr>
      <xdr:spPr>
        <a:xfrm>
          <a:off x="6667500" y="2857500"/>
          <a:ext cx="0" cy="810334"/>
        </a:xfrm>
        <a:prstGeom prst="straightConnector1">
          <a:avLst/>
        </a:prstGeom>
        <a:ln>
          <a:solidFill>
            <a:srgbClr val="FFFF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57150</xdr:colOff>
      <xdr:row>29</xdr:row>
      <xdr:rowOff>19050</xdr:rowOff>
    </xdr:from>
    <xdr:to>
      <xdr:col>35</xdr:col>
      <xdr:colOff>57150</xdr:colOff>
      <xdr:row>31</xdr:row>
      <xdr:rowOff>28575</xdr:rowOff>
    </xdr:to>
    <xdr:cxnSp macro="">
      <xdr:nvCxnSpPr>
        <xdr:cNvPr id="124" name="Straight Arrow Connector 123">
          <a:extLst>
            <a:ext uri="{FF2B5EF4-FFF2-40B4-BE49-F238E27FC236}">
              <a16:creationId xmlns:a16="http://schemas.microsoft.com/office/drawing/2014/main" id="{00000000-0008-0000-0400-00007C000000}"/>
            </a:ext>
          </a:extLst>
        </xdr:cNvPr>
        <xdr:cNvCxnSpPr/>
      </xdr:nvCxnSpPr>
      <xdr:spPr>
        <a:xfrm>
          <a:off x="3905250" y="5562600"/>
          <a:ext cx="0" cy="3905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57150</xdr:colOff>
      <xdr:row>32</xdr:row>
      <xdr:rowOff>180975</xdr:rowOff>
    </xdr:from>
    <xdr:to>
      <xdr:col>35</xdr:col>
      <xdr:colOff>57150</xdr:colOff>
      <xdr:row>35</xdr:row>
      <xdr:rowOff>19050</xdr:rowOff>
    </xdr:to>
    <xdr:cxnSp macro="">
      <xdr:nvCxnSpPr>
        <xdr:cNvPr id="125" name="Straight Arrow Connector 124">
          <a:extLst>
            <a:ext uri="{FF2B5EF4-FFF2-40B4-BE49-F238E27FC236}">
              <a16:creationId xmlns:a16="http://schemas.microsoft.com/office/drawing/2014/main" id="{00000000-0008-0000-0400-00007D000000}"/>
            </a:ext>
          </a:extLst>
        </xdr:cNvPr>
        <xdr:cNvCxnSpPr/>
      </xdr:nvCxnSpPr>
      <xdr:spPr>
        <a:xfrm>
          <a:off x="3905250" y="6296025"/>
          <a:ext cx="0" cy="4095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27622</xdr:colOff>
      <xdr:row>32</xdr:row>
      <xdr:rowOff>50960</xdr:rowOff>
    </xdr:from>
    <xdr:to>
      <xdr:col>33</xdr:col>
      <xdr:colOff>123827</xdr:colOff>
      <xdr:row>32</xdr:row>
      <xdr:rowOff>96679</xdr:rowOff>
    </xdr:to>
    <xdr:sp macro="" textlink="">
      <xdr:nvSpPr>
        <xdr:cNvPr id="126" name="Isosceles Triangle 125">
          <a:extLst>
            <a:ext uri="{FF2B5EF4-FFF2-40B4-BE49-F238E27FC236}">
              <a16:creationId xmlns:a16="http://schemas.microsoft.com/office/drawing/2014/main" id="{00000000-0008-0000-0400-00007E000000}"/>
            </a:ext>
          </a:extLst>
        </xdr:cNvPr>
        <xdr:cNvSpPr/>
      </xdr:nvSpPr>
      <xdr:spPr>
        <a:xfrm rot="16200000">
          <a:off x="3077052" y="6078855"/>
          <a:ext cx="45719" cy="220030"/>
        </a:xfrm>
        <a:prstGeom prst="triangl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26431</xdr:colOff>
      <xdr:row>31</xdr:row>
      <xdr:rowOff>16431</xdr:rowOff>
    </xdr:from>
    <xdr:to>
      <xdr:col>33</xdr:col>
      <xdr:colOff>127399</xdr:colOff>
      <xdr:row>32</xdr:row>
      <xdr:rowOff>189548</xdr:rowOff>
    </xdr:to>
    <xdr:grpSp>
      <xdr:nvGrpSpPr>
        <xdr:cNvPr id="127" name="Group 126">
          <a:extLst>
            <a:ext uri="{FF2B5EF4-FFF2-40B4-BE49-F238E27FC236}">
              <a16:creationId xmlns:a16="http://schemas.microsoft.com/office/drawing/2014/main" id="{00000000-0008-0000-0400-00007F000000}"/>
            </a:ext>
          </a:extLst>
        </xdr:cNvPr>
        <xdr:cNvGrpSpPr/>
      </xdr:nvGrpSpPr>
      <xdr:grpSpPr>
        <a:xfrm>
          <a:off x="8643381" y="5756831"/>
          <a:ext cx="227968" cy="350917"/>
          <a:chOff x="359806" y="5945744"/>
          <a:chExt cx="225984" cy="363617"/>
        </a:xfrm>
      </xdr:grpSpPr>
      <xdr:grpSp>
        <xdr:nvGrpSpPr>
          <xdr:cNvPr id="128" name="Group 127">
            <a:extLst>
              <a:ext uri="{FF2B5EF4-FFF2-40B4-BE49-F238E27FC236}">
                <a16:creationId xmlns:a16="http://schemas.microsoft.com/office/drawing/2014/main" id="{00000000-0008-0000-0400-000080000000}"/>
              </a:ext>
            </a:extLst>
          </xdr:cNvPr>
          <xdr:cNvGrpSpPr/>
        </xdr:nvGrpSpPr>
        <xdr:grpSpPr>
          <a:xfrm>
            <a:off x="359806" y="5945744"/>
            <a:ext cx="224793" cy="219551"/>
            <a:chOff x="359806" y="5945744"/>
            <a:chExt cx="224793" cy="219551"/>
          </a:xfrm>
        </xdr:grpSpPr>
        <xdr:sp macro="" textlink="">
          <xdr:nvSpPr>
            <xdr:cNvPr id="132" name="Isosceles Triangle 131">
              <a:extLst>
                <a:ext uri="{FF2B5EF4-FFF2-40B4-BE49-F238E27FC236}">
                  <a16:creationId xmlns:a16="http://schemas.microsoft.com/office/drawing/2014/main" id="{00000000-0008-0000-0400-000084000000}"/>
                </a:ext>
              </a:extLst>
            </xdr:cNvPr>
            <xdr:cNvSpPr/>
          </xdr:nvSpPr>
          <xdr:spPr>
            <a:xfrm rot="16200000">
              <a:off x="449939" y="5857993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33" name="Isosceles Triangle 132">
              <a:extLst>
                <a:ext uri="{FF2B5EF4-FFF2-40B4-BE49-F238E27FC236}">
                  <a16:creationId xmlns:a16="http://schemas.microsoft.com/office/drawing/2014/main" id="{00000000-0008-0000-0400-000085000000}"/>
                </a:ext>
              </a:extLst>
            </xdr:cNvPr>
            <xdr:cNvSpPr/>
          </xdr:nvSpPr>
          <xdr:spPr>
            <a:xfrm rot="16200000">
              <a:off x="447558" y="5915144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34" name="Isosceles Triangle 133">
              <a:extLst>
                <a:ext uri="{FF2B5EF4-FFF2-40B4-BE49-F238E27FC236}">
                  <a16:creationId xmlns:a16="http://schemas.microsoft.com/office/drawing/2014/main" id="{00000000-0008-0000-0400-000086000000}"/>
                </a:ext>
              </a:extLst>
            </xdr:cNvPr>
            <xdr:cNvSpPr/>
          </xdr:nvSpPr>
          <xdr:spPr>
            <a:xfrm rot="16200000">
              <a:off x="447557" y="5974674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35" name="Isosceles Triangle 134">
              <a:extLst>
                <a:ext uri="{FF2B5EF4-FFF2-40B4-BE49-F238E27FC236}">
                  <a16:creationId xmlns:a16="http://schemas.microsoft.com/office/drawing/2014/main" id="{00000000-0008-0000-0400-000087000000}"/>
                </a:ext>
              </a:extLst>
            </xdr:cNvPr>
            <xdr:cNvSpPr/>
          </xdr:nvSpPr>
          <xdr:spPr>
            <a:xfrm rot="16200000">
              <a:off x="451129" y="6031825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129" name="Group 128">
            <a:extLst>
              <a:ext uri="{FF2B5EF4-FFF2-40B4-BE49-F238E27FC236}">
                <a16:creationId xmlns:a16="http://schemas.microsoft.com/office/drawing/2014/main" id="{00000000-0008-0000-0400-000081000000}"/>
              </a:ext>
            </a:extLst>
          </xdr:cNvPr>
          <xdr:cNvGrpSpPr/>
        </xdr:nvGrpSpPr>
        <xdr:grpSpPr>
          <a:xfrm>
            <a:off x="360997" y="6212445"/>
            <a:ext cx="224793" cy="96916"/>
            <a:chOff x="360997" y="6212445"/>
            <a:chExt cx="224793" cy="96916"/>
          </a:xfrm>
        </xdr:grpSpPr>
        <xdr:sp macro="" textlink="">
          <xdr:nvSpPr>
            <xdr:cNvPr id="130" name="Isosceles Triangle 129">
              <a:extLst>
                <a:ext uri="{FF2B5EF4-FFF2-40B4-BE49-F238E27FC236}">
                  <a16:creationId xmlns:a16="http://schemas.microsoft.com/office/drawing/2014/main" id="{00000000-0008-0000-0400-000082000000}"/>
                </a:ext>
              </a:extLst>
            </xdr:cNvPr>
            <xdr:cNvSpPr/>
          </xdr:nvSpPr>
          <xdr:spPr>
            <a:xfrm rot="16200000">
              <a:off x="448748" y="6124694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31" name="Isosceles Triangle 130">
              <a:extLst>
                <a:ext uri="{FF2B5EF4-FFF2-40B4-BE49-F238E27FC236}">
                  <a16:creationId xmlns:a16="http://schemas.microsoft.com/office/drawing/2014/main" id="{00000000-0008-0000-0400-000083000000}"/>
                </a:ext>
              </a:extLst>
            </xdr:cNvPr>
            <xdr:cNvSpPr/>
          </xdr:nvSpPr>
          <xdr:spPr>
            <a:xfrm rot="16200000">
              <a:off x="452320" y="6175891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</xdr:grpSp>
    <xdr:clientData/>
  </xdr:twoCellAnchor>
  <xdr:twoCellAnchor>
    <xdr:from>
      <xdr:col>34</xdr:col>
      <xdr:colOff>605075</xdr:colOff>
      <xdr:row>31</xdr:row>
      <xdr:rowOff>20002</xdr:rowOff>
    </xdr:from>
    <xdr:to>
      <xdr:col>36</xdr:col>
      <xdr:colOff>109541</xdr:colOff>
      <xdr:row>33</xdr:row>
      <xdr:rowOff>14526</xdr:rowOff>
    </xdr:to>
    <xdr:grpSp>
      <xdr:nvGrpSpPr>
        <xdr:cNvPr id="136" name="Group 135">
          <a:extLst>
            <a:ext uri="{FF2B5EF4-FFF2-40B4-BE49-F238E27FC236}">
              <a16:creationId xmlns:a16="http://schemas.microsoft.com/office/drawing/2014/main" id="{00000000-0008-0000-0400-000088000000}"/>
            </a:ext>
          </a:extLst>
        </xdr:cNvPr>
        <xdr:cNvGrpSpPr/>
      </xdr:nvGrpSpPr>
      <xdr:grpSpPr>
        <a:xfrm flipH="1">
          <a:off x="9488725" y="5760402"/>
          <a:ext cx="304566" cy="362824"/>
          <a:chOff x="2332671" y="6377940"/>
          <a:chExt cx="228366" cy="375524"/>
        </a:xfrm>
      </xdr:grpSpPr>
      <xdr:grpSp>
        <xdr:nvGrpSpPr>
          <xdr:cNvPr id="137" name="Group 136">
            <a:extLst>
              <a:ext uri="{FF2B5EF4-FFF2-40B4-BE49-F238E27FC236}">
                <a16:creationId xmlns:a16="http://schemas.microsoft.com/office/drawing/2014/main" id="{00000000-0008-0000-0400-000089000000}"/>
              </a:ext>
            </a:extLst>
          </xdr:cNvPr>
          <xdr:cNvGrpSpPr/>
        </xdr:nvGrpSpPr>
        <xdr:grpSpPr>
          <a:xfrm>
            <a:off x="2336244" y="6377940"/>
            <a:ext cx="224793" cy="219551"/>
            <a:chOff x="2333862" y="6389847"/>
            <a:chExt cx="224793" cy="219551"/>
          </a:xfrm>
        </xdr:grpSpPr>
        <xdr:sp macro="" textlink="">
          <xdr:nvSpPr>
            <xdr:cNvPr id="142" name="Isosceles Triangle 141">
              <a:extLst>
                <a:ext uri="{FF2B5EF4-FFF2-40B4-BE49-F238E27FC236}">
                  <a16:creationId xmlns:a16="http://schemas.microsoft.com/office/drawing/2014/main" id="{00000000-0008-0000-0400-00008E000000}"/>
                </a:ext>
              </a:extLst>
            </xdr:cNvPr>
            <xdr:cNvSpPr/>
          </xdr:nvSpPr>
          <xdr:spPr>
            <a:xfrm rot="16200000">
              <a:off x="2418042" y="6302096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43" name="Isosceles Triangle 142">
              <a:extLst>
                <a:ext uri="{FF2B5EF4-FFF2-40B4-BE49-F238E27FC236}">
                  <a16:creationId xmlns:a16="http://schemas.microsoft.com/office/drawing/2014/main" id="{00000000-0008-0000-0400-00008F000000}"/>
                </a:ext>
              </a:extLst>
            </xdr:cNvPr>
            <xdr:cNvSpPr/>
          </xdr:nvSpPr>
          <xdr:spPr>
            <a:xfrm rot="16200000">
              <a:off x="2421614" y="6359247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44" name="Isosceles Triangle 143">
              <a:extLst>
                <a:ext uri="{FF2B5EF4-FFF2-40B4-BE49-F238E27FC236}">
                  <a16:creationId xmlns:a16="http://schemas.microsoft.com/office/drawing/2014/main" id="{00000000-0008-0000-0400-000090000000}"/>
                </a:ext>
              </a:extLst>
            </xdr:cNvPr>
            <xdr:cNvSpPr/>
          </xdr:nvSpPr>
          <xdr:spPr>
            <a:xfrm rot="16200000">
              <a:off x="2421613" y="6418777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45" name="Isosceles Triangle 144">
              <a:extLst>
                <a:ext uri="{FF2B5EF4-FFF2-40B4-BE49-F238E27FC236}">
                  <a16:creationId xmlns:a16="http://schemas.microsoft.com/office/drawing/2014/main" id="{00000000-0008-0000-0400-000091000000}"/>
                </a:ext>
              </a:extLst>
            </xdr:cNvPr>
            <xdr:cNvSpPr/>
          </xdr:nvSpPr>
          <xdr:spPr>
            <a:xfrm rot="16200000">
              <a:off x="2419232" y="6475928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138" name="Group 137">
            <a:extLst>
              <a:ext uri="{FF2B5EF4-FFF2-40B4-BE49-F238E27FC236}">
                <a16:creationId xmlns:a16="http://schemas.microsoft.com/office/drawing/2014/main" id="{00000000-0008-0000-0400-00008A000000}"/>
              </a:ext>
            </a:extLst>
          </xdr:cNvPr>
          <xdr:cNvGrpSpPr/>
        </xdr:nvGrpSpPr>
        <xdr:grpSpPr>
          <a:xfrm>
            <a:off x="2332671" y="6600589"/>
            <a:ext cx="223603" cy="152875"/>
            <a:chOff x="2332671" y="6600589"/>
            <a:chExt cx="223603" cy="152875"/>
          </a:xfrm>
        </xdr:grpSpPr>
        <xdr:sp macro="" textlink="">
          <xdr:nvSpPr>
            <xdr:cNvPr id="139" name="Isosceles Triangle 138">
              <a:extLst>
                <a:ext uri="{FF2B5EF4-FFF2-40B4-BE49-F238E27FC236}">
                  <a16:creationId xmlns:a16="http://schemas.microsoft.com/office/drawing/2014/main" id="{00000000-0008-0000-0400-00008B000000}"/>
                </a:ext>
              </a:extLst>
            </xdr:cNvPr>
            <xdr:cNvSpPr/>
          </xdr:nvSpPr>
          <xdr:spPr>
            <a:xfrm rot="16200000">
              <a:off x="2422804" y="6568797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40" name="Isosceles Triangle 139">
              <a:extLst>
                <a:ext uri="{FF2B5EF4-FFF2-40B4-BE49-F238E27FC236}">
                  <a16:creationId xmlns:a16="http://schemas.microsoft.com/office/drawing/2014/main" id="{00000000-0008-0000-0400-00008C000000}"/>
                </a:ext>
              </a:extLst>
            </xdr:cNvPr>
            <xdr:cNvSpPr/>
          </xdr:nvSpPr>
          <xdr:spPr>
            <a:xfrm rot="16200000">
              <a:off x="2420423" y="6619994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41" name="Isosceles Triangle 140">
              <a:extLst>
                <a:ext uri="{FF2B5EF4-FFF2-40B4-BE49-F238E27FC236}">
                  <a16:creationId xmlns:a16="http://schemas.microsoft.com/office/drawing/2014/main" id="{00000000-0008-0000-0400-00008D000000}"/>
                </a:ext>
              </a:extLst>
            </xdr:cNvPr>
            <xdr:cNvSpPr/>
          </xdr:nvSpPr>
          <xdr:spPr>
            <a:xfrm rot="16200000">
              <a:off x="2420422" y="6512838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</xdr:grpSp>
    <xdr:clientData/>
  </xdr:twoCellAnchor>
  <xdr:twoCellAnchor>
    <xdr:from>
      <xdr:col>36</xdr:col>
      <xdr:colOff>66675</xdr:colOff>
      <xdr:row>19</xdr:row>
      <xdr:rowOff>0</xdr:rowOff>
    </xdr:from>
    <xdr:to>
      <xdr:col>36</xdr:col>
      <xdr:colOff>66675</xdr:colOff>
      <xdr:row>21</xdr:row>
      <xdr:rowOff>10234</xdr:rowOff>
    </xdr:to>
    <xdr:cxnSp macro="">
      <xdr:nvCxnSpPr>
        <xdr:cNvPr id="146" name="Straight Arrow Connector 145">
          <a:extLst>
            <a:ext uri="{FF2B5EF4-FFF2-40B4-BE49-F238E27FC236}">
              <a16:creationId xmlns:a16="http://schemas.microsoft.com/office/drawing/2014/main" id="{00000000-0008-0000-0400-000092000000}"/>
            </a:ext>
          </a:extLst>
        </xdr:cNvPr>
        <xdr:cNvCxnSpPr/>
      </xdr:nvCxnSpPr>
      <xdr:spPr>
        <a:xfrm>
          <a:off x="6677025" y="3638550"/>
          <a:ext cx="0" cy="391234"/>
        </a:xfrm>
        <a:prstGeom prst="straightConnector1">
          <a:avLst/>
        </a:prstGeom>
        <a:ln>
          <a:solidFill>
            <a:srgbClr val="FFFF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57150</xdr:colOff>
      <xdr:row>29</xdr:row>
      <xdr:rowOff>19050</xdr:rowOff>
    </xdr:from>
    <xdr:to>
      <xdr:col>5</xdr:col>
      <xdr:colOff>57150</xdr:colOff>
      <xdr:row>31</xdr:row>
      <xdr:rowOff>28575</xdr:rowOff>
    </xdr:to>
    <xdr:cxnSp macro="">
      <xdr:nvCxnSpPr>
        <xdr:cNvPr id="150" name="Straight Arrow Connector 149">
          <a:extLst>
            <a:ext uri="{FF2B5EF4-FFF2-40B4-BE49-F238E27FC236}">
              <a16:creationId xmlns:a16="http://schemas.microsoft.com/office/drawing/2014/main" id="{00000000-0008-0000-0400-000096000000}"/>
            </a:ext>
          </a:extLst>
        </xdr:cNvPr>
        <xdr:cNvCxnSpPr/>
      </xdr:nvCxnSpPr>
      <xdr:spPr>
        <a:xfrm>
          <a:off x="7372350" y="5562600"/>
          <a:ext cx="0" cy="3905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57150</xdr:colOff>
      <xdr:row>32</xdr:row>
      <xdr:rowOff>180975</xdr:rowOff>
    </xdr:from>
    <xdr:to>
      <xdr:col>5</xdr:col>
      <xdr:colOff>57150</xdr:colOff>
      <xdr:row>35</xdr:row>
      <xdr:rowOff>19050</xdr:rowOff>
    </xdr:to>
    <xdr:cxnSp macro="">
      <xdr:nvCxnSpPr>
        <xdr:cNvPr id="151" name="Straight Arrow Connector 150">
          <a:extLst>
            <a:ext uri="{FF2B5EF4-FFF2-40B4-BE49-F238E27FC236}">
              <a16:creationId xmlns:a16="http://schemas.microsoft.com/office/drawing/2014/main" id="{00000000-0008-0000-0400-000097000000}"/>
            </a:ext>
          </a:extLst>
        </xdr:cNvPr>
        <xdr:cNvCxnSpPr/>
      </xdr:nvCxnSpPr>
      <xdr:spPr>
        <a:xfrm>
          <a:off x="7372350" y="6296025"/>
          <a:ext cx="0" cy="4095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27622</xdr:colOff>
      <xdr:row>32</xdr:row>
      <xdr:rowOff>50960</xdr:rowOff>
    </xdr:from>
    <xdr:to>
      <xdr:col>3</xdr:col>
      <xdr:colOff>123827</xdr:colOff>
      <xdr:row>32</xdr:row>
      <xdr:rowOff>96679</xdr:rowOff>
    </xdr:to>
    <xdr:sp macro="" textlink="">
      <xdr:nvSpPr>
        <xdr:cNvPr id="152" name="Isosceles Triangle 151">
          <a:extLst>
            <a:ext uri="{FF2B5EF4-FFF2-40B4-BE49-F238E27FC236}">
              <a16:creationId xmlns:a16="http://schemas.microsoft.com/office/drawing/2014/main" id="{00000000-0008-0000-0400-000098000000}"/>
            </a:ext>
          </a:extLst>
        </xdr:cNvPr>
        <xdr:cNvSpPr/>
      </xdr:nvSpPr>
      <xdr:spPr>
        <a:xfrm rot="16200000">
          <a:off x="6544152" y="6078855"/>
          <a:ext cx="45719" cy="220030"/>
        </a:xfrm>
        <a:prstGeom prst="triangl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26431</xdr:colOff>
      <xdr:row>31</xdr:row>
      <xdr:rowOff>16431</xdr:rowOff>
    </xdr:from>
    <xdr:to>
      <xdr:col>3</xdr:col>
      <xdr:colOff>127399</xdr:colOff>
      <xdr:row>32</xdr:row>
      <xdr:rowOff>189548</xdr:rowOff>
    </xdr:to>
    <xdr:grpSp>
      <xdr:nvGrpSpPr>
        <xdr:cNvPr id="153" name="Group 152">
          <a:extLst>
            <a:ext uri="{FF2B5EF4-FFF2-40B4-BE49-F238E27FC236}">
              <a16:creationId xmlns:a16="http://schemas.microsoft.com/office/drawing/2014/main" id="{00000000-0008-0000-0400-000099000000}"/>
            </a:ext>
          </a:extLst>
        </xdr:cNvPr>
        <xdr:cNvGrpSpPr/>
      </xdr:nvGrpSpPr>
      <xdr:grpSpPr>
        <a:xfrm>
          <a:off x="375681" y="5756831"/>
          <a:ext cx="227968" cy="350917"/>
          <a:chOff x="359806" y="5945744"/>
          <a:chExt cx="225984" cy="363617"/>
        </a:xfrm>
      </xdr:grpSpPr>
      <xdr:grpSp>
        <xdr:nvGrpSpPr>
          <xdr:cNvPr id="154" name="Group 153">
            <a:extLst>
              <a:ext uri="{FF2B5EF4-FFF2-40B4-BE49-F238E27FC236}">
                <a16:creationId xmlns:a16="http://schemas.microsoft.com/office/drawing/2014/main" id="{00000000-0008-0000-0400-00009A000000}"/>
              </a:ext>
            </a:extLst>
          </xdr:cNvPr>
          <xdr:cNvGrpSpPr/>
        </xdr:nvGrpSpPr>
        <xdr:grpSpPr>
          <a:xfrm>
            <a:off x="359806" y="5945744"/>
            <a:ext cx="224793" cy="219551"/>
            <a:chOff x="359806" y="5945744"/>
            <a:chExt cx="224793" cy="219551"/>
          </a:xfrm>
        </xdr:grpSpPr>
        <xdr:sp macro="" textlink="">
          <xdr:nvSpPr>
            <xdr:cNvPr id="158" name="Isosceles Triangle 157">
              <a:extLst>
                <a:ext uri="{FF2B5EF4-FFF2-40B4-BE49-F238E27FC236}">
                  <a16:creationId xmlns:a16="http://schemas.microsoft.com/office/drawing/2014/main" id="{00000000-0008-0000-0400-00009E000000}"/>
                </a:ext>
              </a:extLst>
            </xdr:cNvPr>
            <xdr:cNvSpPr/>
          </xdr:nvSpPr>
          <xdr:spPr>
            <a:xfrm rot="16200000">
              <a:off x="449939" y="5857993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59" name="Isosceles Triangle 158">
              <a:extLst>
                <a:ext uri="{FF2B5EF4-FFF2-40B4-BE49-F238E27FC236}">
                  <a16:creationId xmlns:a16="http://schemas.microsoft.com/office/drawing/2014/main" id="{00000000-0008-0000-0400-00009F000000}"/>
                </a:ext>
              </a:extLst>
            </xdr:cNvPr>
            <xdr:cNvSpPr/>
          </xdr:nvSpPr>
          <xdr:spPr>
            <a:xfrm rot="16200000">
              <a:off x="447558" y="5915144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60" name="Isosceles Triangle 159">
              <a:extLst>
                <a:ext uri="{FF2B5EF4-FFF2-40B4-BE49-F238E27FC236}">
                  <a16:creationId xmlns:a16="http://schemas.microsoft.com/office/drawing/2014/main" id="{00000000-0008-0000-0400-0000A0000000}"/>
                </a:ext>
              </a:extLst>
            </xdr:cNvPr>
            <xdr:cNvSpPr/>
          </xdr:nvSpPr>
          <xdr:spPr>
            <a:xfrm rot="16200000">
              <a:off x="447557" y="5974674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61" name="Isosceles Triangle 160">
              <a:extLst>
                <a:ext uri="{FF2B5EF4-FFF2-40B4-BE49-F238E27FC236}">
                  <a16:creationId xmlns:a16="http://schemas.microsoft.com/office/drawing/2014/main" id="{00000000-0008-0000-0400-0000A1000000}"/>
                </a:ext>
              </a:extLst>
            </xdr:cNvPr>
            <xdr:cNvSpPr/>
          </xdr:nvSpPr>
          <xdr:spPr>
            <a:xfrm rot="16200000">
              <a:off x="451129" y="6031825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155" name="Group 154">
            <a:extLst>
              <a:ext uri="{FF2B5EF4-FFF2-40B4-BE49-F238E27FC236}">
                <a16:creationId xmlns:a16="http://schemas.microsoft.com/office/drawing/2014/main" id="{00000000-0008-0000-0400-00009B000000}"/>
              </a:ext>
            </a:extLst>
          </xdr:cNvPr>
          <xdr:cNvGrpSpPr/>
        </xdr:nvGrpSpPr>
        <xdr:grpSpPr>
          <a:xfrm>
            <a:off x="360997" y="6212445"/>
            <a:ext cx="224793" cy="96916"/>
            <a:chOff x="360997" y="6212445"/>
            <a:chExt cx="224793" cy="96916"/>
          </a:xfrm>
        </xdr:grpSpPr>
        <xdr:sp macro="" textlink="">
          <xdr:nvSpPr>
            <xdr:cNvPr id="156" name="Isosceles Triangle 155">
              <a:extLst>
                <a:ext uri="{FF2B5EF4-FFF2-40B4-BE49-F238E27FC236}">
                  <a16:creationId xmlns:a16="http://schemas.microsoft.com/office/drawing/2014/main" id="{00000000-0008-0000-0400-00009C000000}"/>
                </a:ext>
              </a:extLst>
            </xdr:cNvPr>
            <xdr:cNvSpPr/>
          </xdr:nvSpPr>
          <xdr:spPr>
            <a:xfrm rot="16200000">
              <a:off x="448748" y="6124694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57" name="Isosceles Triangle 156">
              <a:extLst>
                <a:ext uri="{FF2B5EF4-FFF2-40B4-BE49-F238E27FC236}">
                  <a16:creationId xmlns:a16="http://schemas.microsoft.com/office/drawing/2014/main" id="{00000000-0008-0000-0400-00009D000000}"/>
                </a:ext>
              </a:extLst>
            </xdr:cNvPr>
            <xdr:cNvSpPr/>
          </xdr:nvSpPr>
          <xdr:spPr>
            <a:xfrm rot="16200000">
              <a:off x="452320" y="6175891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</xdr:grpSp>
    <xdr:clientData/>
  </xdr:twoCellAnchor>
  <xdr:twoCellAnchor>
    <xdr:from>
      <xdr:col>4</xdr:col>
      <xdr:colOff>605075</xdr:colOff>
      <xdr:row>31</xdr:row>
      <xdr:rowOff>20002</xdr:rowOff>
    </xdr:from>
    <xdr:to>
      <xdr:col>6</xdr:col>
      <xdr:colOff>109541</xdr:colOff>
      <xdr:row>33</xdr:row>
      <xdr:rowOff>14526</xdr:rowOff>
    </xdr:to>
    <xdr:grpSp>
      <xdr:nvGrpSpPr>
        <xdr:cNvPr id="162" name="Group 161">
          <a:extLst>
            <a:ext uri="{FF2B5EF4-FFF2-40B4-BE49-F238E27FC236}">
              <a16:creationId xmlns:a16="http://schemas.microsoft.com/office/drawing/2014/main" id="{00000000-0008-0000-0400-0000A2000000}"/>
            </a:ext>
          </a:extLst>
        </xdr:cNvPr>
        <xdr:cNvGrpSpPr/>
      </xdr:nvGrpSpPr>
      <xdr:grpSpPr>
        <a:xfrm flipH="1">
          <a:off x="1221025" y="5760402"/>
          <a:ext cx="304566" cy="362824"/>
          <a:chOff x="2332671" y="6377940"/>
          <a:chExt cx="228366" cy="375524"/>
        </a:xfrm>
      </xdr:grpSpPr>
      <xdr:grpSp>
        <xdr:nvGrpSpPr>
          <xdr:cNvPr id="163" name="Group 162">
            <a:extLst>
              <a:ext uri="{FF2B5EF4-FFF2-40B4-BE49-F238E27FC236}">
                <a16:creationId xmlns:a16="http://schemas.microsoft.com/office/drawing/2014/main" id="{00000000-0008-0000-0400-0000A3000000}"/>
              </a:ext>
            </a:extLst>
          </xdr:cNvPr>
          <xdr:cNvGrpSpPr/>
        </xdr:nvGrpSpPr>
        <xdr:grpSpPr>
          <a:xfrm>
            <a:off x="2336244" y="6377940"/>
            <a:ext cx="224793" cy="219551"/>
            <a:chOff x="2333862" y="6389847"/>
            <a:chExt cx="224793" cy="219551"/>
          </a:xfrm>
        </xdr:grpSpPr>
        <xdr:sp macro="" textlink="">
          <xdr:nvSpPr>
            <xdr:cNvPr id="168" name="Isosceles Triangle 167">
              <a:extLst>
                <a:ext uri="{FF2B5EF4-FFF2-40B4-BE49-F238E27FC236}">
                  <a16:creationId xmlns:a16="http://schemas.microsoft.com/office/drawing/2014/main" id="{00000000-0008-0000-0400-0000A8000000}"/>
                </a:ext>
              </a:extLst>
            </xdr:cNvPr>
            <xdr:cNvSpPr/>
          </xdr:nvSpPr>
          <xdr:spPr>
            <a:xfrm rot="16200000">
              <a:off x="2418042" y="6302096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69" name="Isosceles Triangle 168">
              <a:extLst>
                <a:ext uri="{FF2B5EF4-FFF2-40B4-BE49-F238E27FC236}">
                  <a16:creationId xmlns:a16="http://schemas.microsoft.com/office/drawing/2014/main" id="{00000000-0008-0000-0400-0000A9000000}"/>
                </a:ext>
              </a:extLst>
            </xdr:cNvPr>
            <xdr:cNvSpPr/>
          </xdr:nvSpPr>
          <xdr:spPr>
            <a:xfrm rot="16200000">
              <a:off x="2421614" y="6359247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70" name="Isosceles Triangle 169">
              <a:extLst>
                <a:ext uri="{FF2B5EF4-FFF2-40B4-BE49-F238E27FC236}">
                  <a16:creationId xmlns:a16="http://schemas.microsoft.com/office/drawing/2014/main" id="{00000000-0008-0000-0400-0000AA000000}"/>
                </a:ext>
              </a:extLst>
            </xdr:cNvPr>
            <xdr:cNvSpPr/>
          </xdr:nvSpPr>
          <xdr:spPr>
            <a:xfrm rot="16200000">
              <a:off x="2421613" y="6418777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71" name="Isosceles Triangle 170">
              <a:extLst>
                <a:ext uri="{FF2B5EF4-FFF2-40B4-BE49-F238E27FC236}">
                  <a16:creationId xmlns:a16="http://schemas.microsoft.com/office/drawing/2014/main" id="{00000000-0008-0000-0400-0000AB000000}"/>
                </a:ext>
              </a:extLst>
            </xdr:cNvPr>
            <xdr:cNvSpPr/>
          </xdr:nvSpPr>
          <xdr:spPr>
            <a:xfrm rot="16200000">
              <a:off x="2419232" y="6475928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164" name="Group 163">
            <a:extLst>
              <a:ext uri="{FF2B5EF4-FFF2-40B4-BE49-F238E27FC236}">
                <a16:creationId xmlns:a16="http://schemas.microsoft.com/office/drawing/2014/main" id="{00000000-0008-0000-0400-0000A4000000}"/>
              </a:ext>
            </a:extLst>
          </xdr:cNvPr>
          <xdr:cNvGrpSpPr/>
        </xdr:nvGrpSpPr>
        <xdr:grpSpPr>
          <a:xfrm>
            <a:off x="2332671" y="6600589"/>
            <a:ext cx="223603" cy="152875"/>
            <a:chOff x="2332671" y="6600589"/>
            <a:chExt cx="223603" cy="152875"/>
          </a:xfrm>
        </xdr:grpSpPr>
        <xdr:sp macro="" textlink="">
          <xdr:nvSpPr>
            <xdr:cNvPr id="165" name="Isosceles Triangle 164">
              <a:extLst>
                <a:ext uri="{FF2B5EF4-FFF2-40B4-BE49-F238E27FC236}">
                  <a16:creationId xmlns:a16="http://schemas.microsoft.com/office/drawing/2014/main" id="{00000000-0008-0000-0400-0000A5000000}"/>
                </a:ext>
              </a:extLst>
            </xdr:cNvPr>
            <xdr:cNvSpPr/>
          </xdr:nvSpPr>
          <xdr:spPr>
            <a:xfrm rot="16200000">
              <a:off x="2422804" y="6568797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66" name="Isosceles Triangle 165">
              <a:extLst>
                <a:ext uri="{FF2B5EF4-FFF2-40B4-BE49-F238E27FC236}">
                  <a16:creationId xmlns:a16="http://schemas.microsoft.com/office/drawing/2014/main" id="{00000000-0008-0000-0400-0000A6000000}"/>
                </a:ext>
              </a:extLst>
            </xdr:cNvPr>
            <xdr:cNvSpPr/>
          </xdr:nvSpPr>
          <xdr:spPr>
            <a:xfrm rot="16200000">
              <a:off x="2420423" y="6619994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67" name="Isosceles Triangle 166">
              <a:extLst>
                <a:ext uri="{FF2B5EF4-FFF2-40B4-BE49-F238E27FC236}">
                  <a16:creationId xmlns:a16="http://schemas.microsoft.com/office/drawing/2014/main" id="{00000000-0008-0000-0400-0000A7000000}"/>
                </a:ext>
              </a:extLst>
            </xdr:cNvPr>
            <xdr:cNvSpPr/>
          </xdr:nvSpPr>
          <xdr:spPr>
            <a:xfrm rot="16200000">
              <a:off x="2420422" y="6512838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</xdr:grpSp>
    <xdr:clientData/>
  </xdr:twoCellAnchor>
  <xdr:twoCellAnchor>
    <xdr:from>
      <xdr:col>5</xdr:col>
      <xdr:colOff>57150</xdr:colOff>
      <xdr:row>29</xdr:row>
      <xdr:rowOff>19050</xdr:rowOff>
    </xdr:from>
    <xdr:to>
      <xdr:col>5</xdr:col>
      <xdr:colOff>57150</xdr:colOff>
      <xdr:row>31</xdr:row>
      <xdr:rowOff>28575</xdr:rowOff>
    </xdr:to>
    <xdr:cxnSp macro="">
      <xdr:nvCxnSpPr>
        <xdr:cNvPr id="174" name="Straight Arrow Connector 173">
          <a:extLst>
            <a:ext uri="{FF2B5EF4-FFF2-40B4-BE49-F238E27FC236}">
              <a16:creationId xmlns:a16="http://schemas.microsoft.com/office/drawing/2014/main" id="{00000000-0008-0000-0400-0000AE000000}"/>
            </a:ext>
          </a:extLst>
        </xdr:cNvPr>
        <xdr:cNvCxnSpPr/>
      </xdr:nvCxnSpPr>
      <xdr:spPr>
        <a:xfrm>
          <a:off x="7372350" y="5562600"/>
          <a:ext cx="0" cy="3905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57150</xdr:colOff>
      <xdr:row>32</xdr:row>
      <xdr:rowOff>180975</xdr:rowOff>
    </xdr:from>
    <xdr:to>
      <xdr:col>5</xdr:col>
      <xdr:colOff>57150</xdr:colOff>
      <xdr:row>35</xdr:row>
      <xdr:rowOff>19050</xdr:rowOff>
    </xdr:to>
    <xdr:cxnSp macro="">
      <xdr:nvCxnSpPr>
        <xdr:cNvPr id="175" name="Straight Arrow Connector 174">
          <a:extLst>
            <a:ext uri="{FF2B5EF4-FFF2-40B4-BE49-F238E27FC236}">
              <a16:creationId xmlns:a16="http://schemas.microsoft.com/office/drawing/2014/main" id="{00000000-0008-0000-0400-0000AF000000}"/>
            </a:ext>
          </a:extLst>
        </xdr:cNvPr>
        <xdr:cNvCxnSpPr/>
      </xdr:nvCxnSpPr>
      <xdr:spPr>
        <a:xfrm>
          <a:off x="7372350" y="6296025"/>
          <a:ext cx="0" cy="4095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27622</xdr:colOff>
      <xdr:row>32</xdr:row>
      <xdr:rowOff>50960</xdr:rowOff>
    </xdr:from>
    <xdr:to>
      <xdr:col>3</xdr:col>
      <xdr:colOff>123827</xdr:colOff>
      <xdr:row>32</xdr:row>
      <xdr:rowOff>96679</xdr:rowOff>
    </xdr:to>
    <xdr:sp macro="" textlink="">
      <xdr:nvSpPr>
        <xdr:cNvPr id="176" name="Isosceles Triangle 175">
          <a:extLst>
            <a:ext uri="{FF2B5EF4-FFF2-40B4-BE49-F238E27FC236}">
              <a16:creationId xmlns:a16="http://schemas.microsoft.com/office/drawing/2014/main" id="{00000000-0008-0000-0400-0000B0000000}"/>
            </a:ext>
          </a:extLst>
        </xdr:cNvPr>
        <xdr:cNvSpPr/>
      </xdr:nvSpPr>
      <xdr:spPr>
        <a:xfrm rot="16200000">
          <a:off x="6544152" y="6078855"/>
          <a:ext cx="45719" cy="220030"/>
        </a:xfrm>
        <a:prstGeom prst="triangl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26431</xdr:colOff>
      <xdr:row>31</xdr:row>
      <xdr:rowOff>16431</xdr:rowOff>
    </xdr:from>
    <xdr:to>
      <xdr:col>3</xdr:col>
      <xdr:colOff>127399</xdr:colOff>
      <xdr:row>32</xdr:row>
      <xdr:rowOff>189548</xdr:rowOff>
    </xdr:to>
    <xdr:grpSp>
      <xdr:nvGrpSpPr>
        <xdr:cNvPr id="177" name="Group 176">
          <a:extLst>
            <a:ext uri="{FF2B5EF4-FFF2-40B4-BE49-F238E27FC236}">
              <a16:creationId xmlns:a16="http://schemas.microsoft.com/office/drawing/2014/main" id="{00000000-0008-0000-0400-0000B1000000}"/>
            </a:ext>
          </a:extLst>
        </xdr:cNvPr>
        <xdr:cNvGrpSpPr/>
      </xdr:nvGrpSpPr>
      <xdr:grpSpPr>
        <a:xfrm>
          <a:off x="375681" y="5756831"/>
          <a:ext cx="227968" cy="350917"/>
          <a:chOff x="359806" y="5945744"/>
          <a:chExt cx="225984" cy="363617"/>
        </a:xfrm>
      </xdr:grpSpPr>
      <xdr:grpSp>
        <xdr:nvGrpSpPr>
          <xdr:cNvPr id="178" name="Group 177">
            <a:extLst>
              <a:ext uri="{FF2B5EF4-FFF2-40B4-BE49-F238E27FC236}">
                <a16:creationId xmlns:a16="http://schemas.microsoft.com/office/drawing/2014/main" id="{00000000-0008-0000-0400-0000B2000000}"/>
              </a:ext>
            </a:extLst>
          </xdr:cNvPr>
          <xdr:cNvGrpSpPr/>
        </xdr:nvGrpSpPr>
        <xdr:grpSpPr>
          <a:xfrm>
            <a:off x="359806" y="5945744"/>
            <a:ext cx="224793" cy="219551"/>
            <a:chOff x="359806" y="5945744"/>
            <a:chExt cx="224793" cy="219551"/>
          </a:xfrm>
        </xdr:grpSpPr>
        <xdr:sp macro="" textlink="">
          <xdr:nvSpPr>
            <xdr:cNvPr id="182" name="Isosceles Triangle 181">
              <a:extLst>
                <a:ext uri="{FF2B5EF4-FFF2-40B4-BE49-F238E27FC236}">
                  <a16:creationId xmlns:a16="http://schemas.microsoft.com/office/drawing/2014/main" id="{00000000-0008-0000-0400-0000B6000000}"/>
                </a:ext>
              </a:extLst>
            </xdr:cNvPr>
            <xdr:cNvSpPr/>
          </xdr:nvSpPr>
          <xdr:spPr>
            <a:xfrm rot="16200000">
              <a:off x="449939" y="5857993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83" name="Isosceles Triangle 182">
              <a:extLst>
                <a:ext uri="{FF2B5EF4-FFF2-40B4-BE49-F238E27FC236}">
                  <a16:creationId xmlns:a16="http://schemas.microsoft.com/office/drawing/2014/main" id="{00000000-0008-0000-0400-0000B7000000}"/>
                </a:ext>
              </a:extLst>
            </xdr:cNvPr>
            <xdr:cNvSpPr/>
          </xdr:nvSpPr>
          <xdr:spPr>
            <a:xfrm rot="16200000">
              <a:off x="447558" y="5915144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84" name="Isosceles Triangle 183">
              <a:extLst>
                <a:ext uri="{FF2B5EF4-FFF2-40B4-BE49-F238E27FC236}">
                  <a16:creationId xmlns:a16="http://schemas.microsoft.com/office/drawing/2014/main" id="{00000000-0008-0000-0400-0000B8000000}"/>
                </a:ext>
              </a:extLst>
            </xdr:cNvPr>
            <xdr:cNvSpPr/>
          </xdr:nvSpPr>
          <xdr:spPr>
            <a:xfrm rot="16200000">
              <a:off x="447557" y="5974674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85" name="Isosceles Triangle 184">
              <a:extLst>
                <a:ext uri="{FF2B5EF4-FFF2-40B4-BE49-F238E27FC236}">
                  <a16:creationId xmlns:a16="http://schemas.microsoft.com/office/drawing/2014/main" id="{00000000-0008-0000-0400-0000B9000000}"/>
                </a:ext>
              </a:extLst>
            </xdr:cNvPr>
            <xdr:cNvSpPr/>
          </xdr:nvSpPr>
          <xdr:spPr>
            <a:xfrm rot="16200000">
              <a:off x="451129" y="6031825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179" name="Group 178">
            <a:extLst>
              <a:ext uri="{FF2B5EF4-FFF2-40B4-BE49-F238E27FC236}">
                <a16:creationId xmlns:a16="http://schemas.microsoft.com/office/drawing/2014/main" id="{00000000-0008-0000-0400-0000B3000000}"/>
              </a:ext>
            </a:extLst>
          </xdr:cNvPr>
          <xdr:cNvGrpSpPr/>
        </xdr:nvGrpSpPr>
        <xdr:grpSpPr>
          <a:xfrm>
            <a:off x="360997" y="6212445"/>
            <a:ext cx="224793" cy="96916"/>
            <a:chOff x="360997" y="6212445"/>
            <a:chExt cx="224793" cy="96916"/>
          </a:xfrm>
        </xdr:grpSpPr>
        <xdr:sp macro="" textlink="">
          <xdr:nvSpPr>
            <xdr:cNvPr id="180" name="Isosceles Triangle 179">
              <a:extLst>
                <a:ext uri="{FF2B5EF4-FFF2-40B4-BE49-F238E27FC236}">
                  <a16:creationId xmlns:a16="http://schemas.microsoft.com/office/drawing/2014/main" id="{00000000-0008-0000-0400-0000B4000000}"/>
                </a:ext>
              </a:extLst>
            </xdr:cNvPr>
            <xdr:cNvSpPr/>
          </xdr:nvSpPr>
          <xdr:spPr>
            <a:xfrm rot="16200000">
              <a:off x="448748" y="6124694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81" name="Isosceles Triangle 180">
              <a:extLst>
                <a:ext uri="{FF2B5EF4-FFF2-40B4-BE49-F238E27FC236}">
                  <a16:creationId xmlns:a16="http://schemas.microsoft.com/office/drawing/2014/main" id="{00000000-0008-0000-0400-0000B5000000}"/>
                </a:ext>
              </a:extLst>
            </xdr:cNvPr>
            <xdr:cNvSpPr/>
          </xdr:nvSpPr>
          <xdr:spPr>
            <a:xfrm rot="16200000">
              <a:off x="452320" y="6175891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</xdr:grpSp>
    <xdr:clientData/>
  </xdr:twoCellAnchor>
  <xdr:twoCellAnchor>
    <xdr:from>
      <xdr:col>4</xdr:col>
      <xdr:colOff>605075</xdr:colOff>
      <xdr:row>31</xdr:row>
      <xdr:rowOff>20002</xdr:rowOff>
    </xdr:from>
    <xdr:to>
      <xdr:col>6</xdr:col>
      <xdr:colOff>109541</xdr:colOff>
      <xdr:row>33</xdr:row>
      <xdr:rowOff>14526</xdr:rowOff>
    </xdr:to>
    <xdr:grpSp>
      <xdr:nvGrpSpPr>
        <xdr:cNvPr id="186" name="Group 185">
          <a:extLst>
            <a:ext uri="{FF2B5EF4-FFF2-40B4-BE49-F238E27FC236}">
              <a16:creationId xmlns:a16="http://schemas.microsoft.com/office/drawing/2014/main" id="{00000000-0008-0000-0400-0000BA000000}"/>
            </a:ext>
          </a:extLst>
        </xdr:cNvPr>
        <xdr:cNvGrpSpPr/>
      </xdr:nvGrpSpPr>
      <xdr:grpSpPr>
        <a:xfrm flipH="1">
          <a:off x="1221025" y="5760402"/>
          <a:ext cx="304566" cy="362824"/>
          <a:chOff x="2332671" y="6377940"/>
          <a:chExt cx="228366" cy="375524"/>
        </a:xfrm>
      </xdr:grpSpPr>
      <xdr:grpSp>
        <xdr:nvGrpSpPr>
          <xdr:cNvPr id="187" name="Group 186">
            <a:extLst>
              <a:ext uri="{FF2B5EF4-FFF2-40B4-BE49-F238E27FC236}">
                <a16:creationId xmlns:a16="http://schemas.microsoft.com/office/drawing/2014/main" id="{00000000-0008-0000-0400-0000BB000000}"/>
              </a:ext>
            </a:extLst>
          </xdr:cNvPr>
          <xdr:cNvGrpSpPr/>
        </xdr:nvGrpSpPr>
        <xdr:grpSpPr>
          <a:xfrm>
            <a:off x="2336244" y="6377940"/>
            <a:ext cx="224793" cy="219551"/>
            <a:chOff x="2333862" y="6389847"/>
            <a:chExt cx="224793" cy="219551"/>
          </a:xfrm>
        </xdr:grpSpPr>
        <xdr:sp macro="" textlink="">
          <xdr:nvSpPr>
            <xdr:cNvPr id="192" name="Isosceles Triangle 191">
              <a:extLst>
                <a:ext uri="{FF2B5EF4-FFF2-40B4-BE49-F238E27FC236}">
                  <a16:creationId xmlns:a16="http://schemas.microsoft.com/office/drawing/2014/main" id="{00000000-0008-0000-0400-0000C0000000}"/>
                </a:ext>
              </a:extLst>
            </xdr:cNvPr>
            <xdr:cNvSpPr/>
          </xdr:nvSpPr>
          <xdr:spPr>
            <a:xfrm rot="16200000">
              <a:off x="2418042" y="6302096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93" name="Isosceles Triangle 192">
              <a:extLst>
                <a:ext uri="{FF2B5EF4-FFF2-40B4-BE49-F238E27FC236}">
                  <a16:creationId xmlns:a16="http://schemas.microsoft.com/office/drawing/2014/main" id="{00000000-0008-0000-0400-0000C1000000}"/>
                </a:ext>
              </a:extLst>
            </xdr:cNvPr>
            <xdr:cNvSpPr/>
          </xdr:nvSpPr>
          <xdr:spPr>
            <a:xfrm rot="16200000">
              <a:off x="2421614" y="6359247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94" name="Isosceles Triangle 193">
              <a:extLst>
                <a:ext uri="{FF2B5EF4-FFF2-40B4-BE49-F238E27FC236}">
                  <a16:creationId xmlns:a16="http://schemas.microsoft.com/office/drawing/2014/main" id="{00000000-0008-0000-0400-0000C2000000}"/>
                </a:ext>
              </a:extLst>
            </xdr:cNvPr>
            <xdr:cNvSpPr/>
          </xdr:nvSpPr>
          <xdr:spPr>
            <a:xfrm rot="16200000">
              <a:off x="2421613" y="6418777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95" name="Isosceles Triangle 194">
              <a:extLst>
                <a:ext uri="{FF2B5EF4-FFF2-40B4-BE49-F238E27FC236}">
                  <a16:creationId xmlns:a16="http://schemas.microsoft.com/office/drawing/2014/main" id="{00000000-0008-0000-0400-0000C3000000}"/>
                </a:ext>
              </a:extLst>
            </xdr:cNvPr>
            <xdr:cNvSpPr/>
          </xdr:nvSpPr>
          <xdr:spPr>
            <a:xfrm rot="16200000">
              <a:off x="2419232" y="6475928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188" name="Group 187">
            <a:extLst>
              <a:ext uri="{FF2B5EF4-FFF2-40B4-BE49-F238E27FC236}">
                <a16:creationId xmlns:a16="http://schemas.microsoft.com/office/drawing/2014/main" id="{00000000-0008-0000-0400-0000BC000000}"/>
              </a:ext>
            </a:extLst>
          </xdr:cNvPr>
          <xdr:cNvGrpSpPr/>
        </xdr:nvGrpSpPr>
        <xdr:grpSpPr>
          <a:xfrm>
            <a:off x="2332671" y="6600589"/>
            <a:ext cx="223603" cy="152875"/>
            <a:chOff x="2332671" y="6600589"/>
            <a:chExt cx="223603" cy="152875"/>
          </a:xfrm>
        </xdr:grpSpPr>
        <xdr:sp macro="" textlink="">
          <xdr:nvSpPr>
            <xdr:cNvPr id="189" name="Isosceles Triangle 188">
              <a:extLst>
                <a:ext uri="{FF2B5EF4-FFF2-40B4-BE49-F238E27FC236}">
                  <a16:creationId xmlns:a16="http://schemas.microsoft.com/office/drawing/2014/main" id="{00000000-0008-0000-0400-0000BD000000}"/>
                </a:ext>
              </a:extLst>
            </xdr:cNvPr>
            <xdr:cNvSpPr/>
          </xdr:nvSpPr>
          <xdr:spPr>
            <a:xfrm rot="16200000">
              <a:off x="2422804" y="6568797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90" name="Isosceles Triangle 189">
              <a:extLst>
                <a:ext uri="{FF2B5EF4-FFF2-40B4-BE49-F238E27FC236}">
                  <a16:creationId xmlns:a16="http://schemas.microsoft.com/office/drawing/2014/main" id="{00000000-0008-0000-0400-0000BE000000}"/>
                </a:ext>
              </a:extLst>
            </xdr:cNvPr>
            <xdr:cNvSpPr/>
          </xdr:nvSpPr>
          <xdr:spPr>
            <a:xfrm rot="16200000">
              <a:off x="2420423" y="6619994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91" name="Isosceles Triangle 190">
              <a:extLst>
                <a:ext uri="{FF2B5EF4-FFF2-40B4-BE49-F238E27FC236}">
                  <a16:creationId xmlns:a16="http://schemas.microsoft.com/office/drawing/2014/main" id="{00000000-0008-0000-0400-0000BF000000}"/>
                </a:ext>
              </a:extLst>
            </xdr:cNvPr>
            <xdr:cNvSpPr/>
          </xdr:nvSpPr>
          <xdr:spPr>
            <a:xfrm rot="16200000">
              <a:off x="2420422" y="6512838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</xdr:grpSp>
    <xdr:clientData/>
  </xdr:twoCellAnchor>
  <xdr:twoCellAnchor>
    <xdr:from>
      <xdr:col>2</xdr:col>
      <xdr:colOff>47625</xdr:colOff>
      <xdr:row>20</xdr:row>
      <xdr:rowOff>76200</xdr:rowOff>
    </xdr:from>
    <xdr:to>
      <xdr:col>3</xdr:col>
      <xdr:colOff>66675</xdr:colOff>
      <xdr:row>21</xdr:row>
      <xdr:rowOff>95250</xdr:rowOff>
    </xdr:to>
    <xdr:sp macro="" textlink="">
      <xdr:nvSpPr>
        <xdr:cNvPr id="198" name="Right Arrow 197">
          <a:extLst>
            <a:ext uri="{FF2B5EF4-FFF2-40B4-BE49-F238E27FC236}">
              <a16:creationId xmlns:a16="http://schemas.microsoft.com/office/drawing/2014/main" id="{00000000-0008-0000-0400-0000C6000000}"/>
            </a:ext>
          </a:extLst>
        </xdr:cNvPr>
        <xdr:cNvSpPr/>
      </xdr:nvSpPr>
      <xdr:spPr>
        <a:xfrm>
          <a:off x="381000" y="3905250"/>
          <a:ext cx="142875" cy="209550"/>
        </a:xfrm>
        <a:prstGeom prst="rightArrow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</xdr:colOff>
      <xdr:row>29</xdr:row>
      <xdr:rowOff>19050</xdr:rowOff>
    </xdr:from>
    <xdr:to>
      <xdr:col>5</xdr:col>
      <xdr:colOff>57150</xdr:colOff>
      <xdr:row>31</xdr:row>
      <xdr:rowOff>28575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CxnSpPr/>
      </xdr:nvCxnSpPr>
      <xdr:spPr>
        <a:xfrm>
          <a:off x="3905250" y="5562600"/>
          <a:ext cx="0" cy="3905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57150</xdr:colOff>
      <xdr:row>32</xdr:row>
      <xdr:rowOff>180975</xdr:rowOff>
    </xdr:from>
    <xdr:to>
      <xdr:col>5</xdr:col>
      <xdr:colOff>57150</xdr:colOff>
      <xdr:row>35</xdr:row>
      <xdr:rowOff>19050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CxnSpPr/>
      </xdr:nvCxnSpPr>
      <xdr:spPr>
        <a:xfrm>
          <a:off x="3905250" y="6296025"/>
          <a:ext cx="0" cy="4095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27622</xdr:colOff>
      <xdr:row>32</xdr:row>
      <xdr:rowOff>50960</xdr:rowOff>
    </xdr:from>
    <xdr:to>
      <xdr:col>3</xdr:col>
      <xdr:colOff>123827</xdr:colOff>
      <xdr:row>32</xdr:row>
      <xdr:rowOff>96679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 rot="16200000">
          <a:off x="3077052" y="6078855"/>
          <a:ext cx="45719" cy="220030"/>
        </a:xfrm>
        <a:prstGeom prst="triangl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26431</xdr:colOff>
      <xdr:row>31</xdr:row>
      <xdr:rowOff>16431</xdr:rowOff>
    </xdr:from>
    <xdr:to>
      <xdr:col>3</xdr:col>
      <xdr:colOff>127399</xdr:colOff>
      <xdr:row>32</xdr:row>
      <xdr:rowOff>189548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pSpPr/>
      </xdr:nvGrpSpPr>
      <xdr:grpSpPr>
        <a:xfrm>
          <a:off x="375681" y="5715556"/>
          <a:ext cx="227968" cy="349330"/>
          <a:chOff x="359806" y="5945744"/>
          <a:chExt cx="225984" cy="363617"/>
        </a:xfrm>
      </xdr:grpSpPr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GrpSpPr/>
        </xdr:nvGrpSpPr>
        <xdr:grpSpPr>
          <a:xfrm>
            <a:off x="359806" y="5945744"/>
            <a:ext cx="224793" cy="219551"/>
            <a:chOff x="359806" y="5945744"/>
            <a:chExt cx="224793" cy="219551"/>
          </a:xfrm>
        </xdr:grpSpPr>
        <xdr:sp macro="" textlink="">
          <xdr:nvSpPr>
            <xdr:cNvPr id="10" name="Isosceles Triangle 9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SpPr/>
          </xdr:nvSpPr>
          <xdr:spPr>
            <a:xfrm rot="16200000">
              <a:off x="449939" y="5857993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1" name="Isosceles Triangle 10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SpPr/>
          </xdr:nvSpPr>
          <xdr:spPr>
            <a:xfrm rot="16200000">
              <a:off x="447558" y="5915144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2" name="Isosceles Triangle 11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SpPr/>
          </xdr:nvSpPr>
          <xdr:spPr>
            <a:xfrm rot="16200000">
              <a:off x="447557" y="5974674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3" name="Isosceles Triangle 12">
              <a:extLst>
                <a:ext uri="{FF2B5EF4-FFF2-40B4-BE49-F238E27FC236}">
                  <a16:creationId xmlns:a16="http://schemas.microsoft.com/office/drawing/2014/main" id="{00000000-0008-0000-0500-00000D000000}"/>
                </a:ext>
              </a:extLst>
            </xdr:cNvPr>
            <xdr:cNvSpPr/>
          </xdr:nvSpPr>
          <xdr:spPr>
            <a:xfrm rot="16200000">
              <a:off x="451129" y="6031825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GrpSpPr/>
        </xdr:nvGrpSpPr>
        <xdr:grpSpPr>
          <a:xfrm>
            <a:off x="360997" y="6212445"/>
            <a:ext cx="224793" cy="96916"/>
            <a:chOff x="360997" y="6212445"/>
            <a:chExt cx="224793" cy="96916"/>
          </a:xfrm>
        </xdr:grpSpPr>
        <xdr:sp macro="" textlink="">
          <xdr:nvSpPr>
            <xdr:cNvPr id="8" name="Isosceles Triangle 7">
              <a:extLst>
                <a:ext uri="{FF2B5EF4-FFF2-40B4-BE49-F238E27FC236}">
                  <a16:creationId xmlns:a16="http://schemas.microsoft.com/office/drawing/2014/main" id="{00000000-0008-0000-0500-000008000000}"/>
                </a:ext>
              </a:extLst>
            </xdr:cNvPr>
            <xdr:cNvSpPr/>
          </xdr:nvSpPr>
          <xdr:spPr>
            <a:xfrm rot="16200000">
              <a:off x="448748" y="6124694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9" name="Isosceles Triangle 8">
              <a:extLst>
                <a:ext uri="{FF2B5EF4-FFF2-40B4-BE49-F238E27FC236}">
                  <a16:creationId xmlns:a16="http://schemas.microsoft.com/office/drawing/2014/main" id="{00000000-0008-0000-0500-000009000000}"/>
                </a:ext>
              </a:extLst>
            </xdr:cNvPr>
            <xdr:cNvSpPr/>
          </xdr:nvSpPr>
          <xdr:spPr>
            <a:xfrm rot="16200000">
              <a:off x="452320" y="6175891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</xdr:grpSp>
    <xdr:clientData/>
  </xdr:twoCellAnchor>
  <xdr:twoCellAnchor>
    <xdr:from>
      <xdr:col>4</xdr:col>
      <xdr:colOff>605075</xdr:colOff>
      <xdr:row>31</xdr:row>
      <xdr:rowOff>20002</xdr:rowOff>
    </xdr:from>
    <xdr:to>
      <xdr:col>6</xdr:col>
      <xdr:colOff>109541</xdr:colOff>
      <xdr:row>33</xdr:row>
      <xdr:rowOff>14526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GrpSpPr/>
      </xdr:nvGrpSpPr>
      <xdr:grpSpPr>
        <a:xfrm flipH="1">
          <a:off x="1224200" y="5719127"/>
          <a:ext cx="306154" cy="359649"/>
          <a:chOff x="2332671" y="6377940"/>
          <a:chExt cx="228366" cy="375524"/>
        </a:xfrm>
      </xdr:grpSpPr>
      <xdr:grpSp>
        <xdr:nvGrpSpPr>
          <xdr:cNvPr id="15" name="Group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GrpSpPr/>
        </xdr:nvGrpSpPr>
        <xdr:grpSpPr>
          <a:xfrm>
            <a:off x="2336244" y="6377940"/>
            <a:ext cx="224793" cy="219551"/>
            <a:chOff x="2333862" y="6389847"/>
            <a:chExt cx="224793" cy="219551"/>
          </a:xfrm>
        </xdr:grpSpPr>
        <xdr:sp macro="" textlink="">
          <xdr:nvSpPr>
            <xdr:cNvPr id="20" name="Isosceles Triangle 19">
              <a:extLst>
                <a:ext uri="{FF2B5EF4-FFF2-40B4-BE49-F238E27FC236}">
                  <a16:creationId xmlns:a16="http://schemas.microsoft.com/office/drawing/2014/main" id="{00000000-0008-0000-0500-000014000000}"/>
                </a:ext>
              </a:extLst>
            </xdr:cNvPr>
            <xdr:cNvSpPr/>
          </xdr:nvSpPr>
          <xdr:spPr>
            <a:xfrm rot="16200000">
              <a:off x="2418042" y="6302096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1" name="Isosceles Triangle 20">
              <a:extLst>
                <a:ext uri="{FF2B5EF4-FFF2-40B4-BE49-F238E27FC236}">
                  <a16:creationId xmlns:a16="http://schemas.microsoft.com/office/drawing/2014/main" id="{00000000-0008-0000-0500-000015000000}"/>
                </a:ext>
              </a:extLst>
            </xdr:cNvPr>
            <xdr:cNvSpPr/>
          </xdr:nvSpPr>
          <xdr:spPr>
            <a:xfrm rot="16200000">
              <a:off x="2421614" y="6359247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2" name="Isosceles Triangle 21">
              <a:extLst>
                <a:ext uri="{FF2B5EF4-FFF2-40B4-BE49-F238E27FC236}">
                  <a16:creationId xmlns:a16="http://schemas.microsoft.com/office/drawing/2014/main" id="{00000000-0008-0000-0500-000016000000}"/>
                </a:ext>
              </a:extLst>
            </xdr:cNvPr>
            <xdr:cNvSpPr/>
          </xdr:nvSpPr>
          <xdr:spPr>
            <a:xfrm rot="16200000">
              <a:off x="2421613" y="6418777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3" name="Isosceles Triangle 22">
              <a:extLst>
                <a:ext uri="{FF2B5EF4-FFF2-40B4-BE49-F238E27FC236}">
                  <a16:creationId xmlns:a16="http://schemas.microsoft.com/office/drawing/2014/main" id="{00000000-0008-0000-0500-000017000000}"/>
                </a:ext>
              </a:extLst>
            </xdr:cNvPr>
            <xdr:cNvSpPr/>
          </xdr:nvSpPr>
          <xdr:spPr>
            <a:xfrm rot="16200000">
              <a:off x="2419232" y="6475928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16" name="Group 15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GrpSpPr/>
        </xdr:nvGrpSpPr>
        <xdr:grpSpPr>
          <a:xfrm>
            <a:off x="2332671" y="6600589"/>
            <a:ext cx="223603" cy="152875"/>
            <a:chOff x="2332671" y="6600589"/>
            <a:chExt cx="223603" cy="152875"/>
          </a:xfrm>
        </xdr:grpSpPr>
        <xdr:sp macro="" textlink="">
          <xdr:nvSpPr>
            <xdr:cNvPr id="17" name="Isosceles Triangle 16">
              <a:extLst>
                <a:ext uri="{FF2B5EF4-FFF2-40B4-BE49-F238E27FC236}">
                  <a16:creationId xmlns:a16="http://schemas.microsoft.com/office/drawing/2014/main" id="{00000000-0008-0000-0500-000011000000}"/>
                </a:ext>
              </a:extLst>
            </xdr:cNvPr>
            <xdr:cNvSpPr/>
          </xdr:nvSpPr>
          <xdr:spPr>
            <a:xfrm rot="16200000">
              <a:off x="2422804" y="6568797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8" name="Isosceles Triangle 17">
              <a:extLst>
                <a:ext uri="{FF2B5EF4-FFF2-40B4-BE49-F238E27FC236}">
                  <a16:creationId xmlns:a16="http://schemas.microsoft.com/office/drawing/2014/main" id="{00000000-0008-0000-0500-000012000000}"/>
                </a:ext>
              </a:extLst>
            </xdr:cNvPr>
            <xdr:cNvSpPr/>
          </xdr:nvSpPr>
          <xdr:spPr>
            <a:xfrm rot="16200000">
              <a:off x="2420423" y="6619994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9" name="Isosceles Triangle 18">
              <a:extLst>
                <a:ext uri="{FF2B5EF4-FFF2-40B4-BE49-F238E27FC236}">
                  <a16:creationId xmlns:a16="http://schemas.microsoft.com/office/drawing/2014/main" id="{00000000-0008-0000-0500-000013000000}"/>
                </a:ext>
              </a:extLst>
            </xdr:cNvPr>
            <xdr:cNvSpPr/>
          </xdr:nvSpPr>
          <xdr:spPr>
            <a:xfrm rot="16200000">
              <a:off x="2420422" y="6512838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</xdr:grpSp>
    <xdr:clientData/>
  </xdr:twoCellAnchor>
  <xdr:twoCellAnchor>
    <xdr:from>
      <xdr:col>6</xdr:col>
      <xdr:colOff>66675</xdr:colOff>
      <xdr:row>20</xdr:row>
      <xdr:rowOff>153109</xdr:rowOff>
    </xdr:from>
    <xdr:to>
      <xdr:col>6</xdr:col>
      <xdr:colOff>66675</xdr:colOff>
      <xdr:row>23</xdr:row>
      <xdr:rowOff>9512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CxnSpPr/>
      </xdr:nvCxnSpPr>
      <xdr:spPr>
        <a:xfrm>
          <a:off x="4048125" y="3982159"/>
          <a:ext cx="0" cy="427903"/>
        </a:xfrm>
        <a:prstGeom prst="straightConnector1">
          <a:avLst/>
        </a:prstGeom>
        <a:ln>
          <a:solidFill>
            <a:srgbClr val="FFFF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66675</xdr:colOff>
      <xdr:row>19</xdr:row>
      <xdr:rowOff>0</xdr:rowOff>
    </xdr:from>
    <xdr:to>
      <xdr:col>6</xdr:col>
      <xdr:colOff>66675</xdr:colOff>
      <xdr:row>21</xdr:row>
      <xdr:rowOff>10234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CxnSpPr/>
      </xdr:nvCxnSpPr>
      <xdr:spPr>
        <a:xfrm>
          <a:off x="4048125" y="3638550"/>
          <a:ext cx="0" cy="391234"/>
        </a:xfrm>
        <a:prstGeom prst="straightConnector1">
          <a:avLst/>
        </a:prstGeom>
        <a:ln>
          <a:solidFill>
            <a:srgbClr val="FFFF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57150</xdr:colOff>
      <xdr:row>29</xdr:row>
      <xdr:rowOff>19050</xdr:rowOff>
    </xdr:from>
    <xdr:to>
      <xdr:col>5</xdr:col>
      <xdr:colOff>57150</xdr:colOff>
      <xdr:row>31</xdr:row>
      <xdr:rowOff>28575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CxnSpPr/>
      </xdr:nvCxnSpPr>
      <xdr:spPr>
        <a:xfrm>
          <a:off x="3905250" y="5562600"/>
          <a:ext cx="0" cy="3905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57150</xdr:colOff>
      <xdr:row>32</xdr:row>
      <xdr:rowOff>180975</xdr:rowOff>
    </xdr:from>
    <xdr:to>
      <xdr:col>5</xdr:col>
      <xdr:colOff>57150</xdr:colOff>
      <xdr:row>35</xdr:row>
      <xdr:rowOff>19050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CxnSpPr/>
      </xdr:nvCxnSpPr>
      <xdr:spPr>
        <a:xfrm>
          <a:off x="3905250" y="6296025"/>
          <a:ext cx="0" cy="4095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27622</xdr:colOff>
      <xdr:row>32</xdr:row>
      <xdr:rowOff>50960</xdr:rowOff>
    </xdr:from>
    <xdr:to>
      <xdr:col>3</xdr:col>
      <xdr:colOff>123827</xdr:colOff>
      <xdr:row>32</xdr:row>
      <xdr:rowOff>96679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SpPr/>
      </xdr:nvSpPr>
      <xdr:spPr>
        <a:xfrm rot="16200000">
          <a:off x="3077052" y="6078855"/>
          <a:ext cx="45719" cy="220030"/>
        </a:xfrm>
        <a:prstGeom prst="triangl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26431</xdr:colOff>
      <xdr:row>31</xdr:row>
      <xdr:rowOff>16431</xdr:rowOff>
    </xdr:from>
    <xdr:to>
      <xdr:col>3</xdr:col>
      <xdr:colOff>127399</xdr:colOff>
      <xdr:row>32</xdr:row>
      <xdr:rowOff>189548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GrpSpPr/>
      </xdr:nvGrpSpPr>
      <xdr:grpSpPr>
        <a:xfrm>
          <a:off x="375681" y="5715556"/>
          <a:ext cx="227968" cy="349330"/>
          <a:chOff x="359806" y="5945744"/>
          <a:chExt cx="225984" cy="363617"/>
        </a:xfrm>
      </xdr:grpSpPr>
      <xdr:grpSp>
        <xdr:nvGrpSpPr>
          <xdr:cNvPr id="30" name="Group 29">
            <a:extLst>
              <a:ext uri="{FF2B5EF4-FFF2-40B4-BE49-F238E27FC236}">
                <a16:creationId xmlns:a16="http://schemas.microsoft.com/office/drawing/2014/main" id="{00000000-0008-0000-0500-00001E000000}"/>
              </a:ext>
            </a:extLst>
          </xdr:cNvPr>
          <xdr:cNvGrpSpPr/>
        </xdr:nvGrpSpPr>
        <xdr:grpSpPr>
          <a:xfrm>
            <a:off x="359806" y="5945744"/>
            <a:ext cx="224793" cy="219551"/>
            <a:chOff x="359806" y="5945744"/>
            <a:chExt cx="224793" cy="219551"/>
          </a:xfrm>
        </xdr:grpSpPr>
        <xdr:sp macro="" textlink="">
          <xdr:nvSpPr>
            <xdr:cNvPr id="34" name="Isosceles Triangle 33">
              <a:extLst>
                <a:ext uri="{FF2B5EF4-FFF2-40B4-BE49-F238E27FC236}">
                  <a16:creationId xmlns:a16="http://schemas.microsoft.com/office/drawing/2014/main" id="{00000000-0008-0000-0500-000022000000}"/>
                </a:ext>
              </a:extLst>
            </xdr:cNvPr>
            <xdr:cNvSpPr/>
          </xdr:nvSpPr>
          <xdr:spPr>
            <a:xfrm rot="16200000">
              <a:off x="449939" y="5857993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35" name="Isosceles Triangle 34">
              <a:extLst>
                <a:ext uri="{FF2B5EF4-FFF2-40B4-BE49-F238E27FC236}">
                  <a16:creationId xmlns:a16="http://schemas.microsoft.com/office/drawing/2014/main" id="{00000000-0008-0000-0500-000023000000}"/>
                </a:ext>
              </a:extLst>
            </xdr:cNvPr>
            <xdr:cNvSpPr/>
          </xdr:nvSpPr>
          <xdr:spPr>
            <a:xfrm rot="16200000">
              <a:off x="447558" y="5915144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36" name="Isosceles Triangle 35">
              <a:extLst>
                <a:ext uri="{FF2B5EF4-FFF2-40B4-BE49-F238E27FC236}">
                  <a16:creationId xmlns:a16="http://schemas.microsoft.com/office/drawing/2014/main" id="{00000000-0008-0000-0500-000024000000}"/>
                </a:ext>
              </a:extLst>
            </xdr:cNvPr>
            <xdr:cNvSpPr/>
          </xdr:nvSpPr>
          <xdr:spPr>
            <a:xfrm rot="16200000">
              <a:off x="447557" y="5974674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37" name="Isosceles Triangle 36">
              <a:extLst>
                <a:ext uri="{FF2B5EF4-FFF2-40B4-BE49-F238E27FC236}">
                  <a16:creationId xmlns:a16="http://schemas.microsoft.com/office/drawing/2014/main" id="{00000000-0008-0000-0500-000025000000}"/>
                </a:ext>
              </a:extLst>
            </xdr:cNvPr>
            <xdr:cNvSpPr/>
          </xdr:nvSpPr>
          <xdr:spPr>
            <a:xfrm rot="16200000">
              <a:off x="451129" y="6031825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31" name="Group 30">
            <a:extLst>
              <a:ext uri="{FF2B5EF4-FFF2-40B4-BE49-F238E27FC236}">
                <a16:creationId xmlns:a16="http://schemas.microsoft.com/office/drawing/2014/main" id="{00000000-0008-0000-0500-00001F000000}"/>
              </a:ext>
            </a:extLst>
          </xdr:cNvPr>
          <xdr:cNvGrpSpPr/>
        </xdr:nvGrpSpPr>
        <xdr:grpSpPr>
          <a:xfrm>
            <a:off x="360997" y="6212445"/>
            <a:ext cx="224793" cy="96916"/>
            <a:chOff x="360997" y="6212445"/>
            <a:chExt cx="224793" cy="96916"/>
          </a:xfrm>
        </xdr:grpSpPr>
        <xdr:sp macro="" textlink="">
          <xdr:nvSpPr>
            <xdr:cNvPr id="32" name="Isosceles Triangle 31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:cNvPr>
            <xdr:cNvSpPr/>
          </xdr:nvSpPr>
          <xdr:spPr>
            <a:xfrm rot="16200000">
              <a:off x="448748" y="6124694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33" name="Isosceles Triangle 32">
              <a:extLst>
                <a:ext uri="{FF2B5EF4-FFF2-40B4-BE49-F238E27FC236}">
                  <a16:creationId xmlns:a16="http://schemas.microsoft.com/office/drawing/2014/main" id="{00000000-0008-0000-0500-000021000000}"/>
                </a:ext>
              </a:extLst>
            </xdr:cNvPr>
            <xdr:cNvSpPr/>
          </xdr:nvSpPr>
          <xdr:spPr>
            <a:xfrm rot="16200000">
              <a:off x="452320" y="6175891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</xdr:grpSp>
    <xdr:clientData/>
  </xdr:twoCellAnchor>
  <xdr:twoCellAnchor>
    <xdr:from>
      <xdr:col>4</xdr:col>
      <xdr:colOff>605075</xdr:colOff>
      <xdr:row>31</xdr:row>
      <xdr:rowOff>20002</xdr:rowOff>
    </xdr:from>
    <xdr:to>
      <xdr:col>6</xdr:col>
      <xdr:colOff>109541</xdr:colOff>
      <xdr:row>33</xdr:row>
      <xdr:rowOff>14526</xdr:rowOff>
    </xdr:to>
    <xdr:grpSp>
      <xdr:nvGrpSpPr>
        <xdr:cNvPr id="38" name="Group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GrpSpPr/>
      </xdr:nvGrpSpPr>
      <xdr:grpSpPr>
        <a:xfrm flipH="1">
          <a:off x="1224200" y="5719127"/>
          <a:ext cx="306154" cy="359649"/>
          <a:chOff x="2332671" y="6377940"/>
          <a:chExt cx="228366" cy="375524"/>
        </a:xfrm>
      </xdr:grpSpPr>
      <xdr:grpSp>
        <xdr:nvGrpSpPr>
          <xdr:cNvPr id="39" name="Group 38">
            <a:extLst>
              <a:ext uri="{FF2B5EF4-FFF2-40B4-BE49-F238E27FC236}">
                <a16:creationId xmlns:a16="http://schemas.microsoft.com/office/drawing/2014/main" id="{00000000-0008-0000-0500-000027000000}"/>
              </a:ext>
            </a:extLst>
          </xdr:cNvPr>
          <xdr:cNvGrpSpPr/>
        </xdr:nvGrpSpPr>
        <xdr:grpSpPr>
          <a:xfrm>
            <a:off x="2336244" y="6377940"/>
            <a:ext cx="224793" cy="219551"/>
            <a:chOff x="2333862" y="6389847"/>
            <a:chExt cx="224793" cy="219551"/>
          </a:xfrm>
        </xdr:grpSpPr>
        <xdr:sp macro="" textlink="">
          <xdr:nvSpPr>
            <xdr:cNvPr id="44" name="Isosceles Triangle 43">
              <a:extLst>
                <a:ext uri="{FF2B5EF4-FFF2-40B4-BE49-F238E27FC236}">
                  <a16:creationId xmlns:a16="http://schemas.microsoft.com/office/drawing/2014/main" id="{00000000-0008-0000-0500-00002C000000}"/>
                </a:ext>
              </a:extLst>
            </xdr:cNvPr>
            <xdr:cNvSpPr/>
          </xdr:nvSpPr>
          <xdr:spPr>
            <a:xfrm rot="16200000">
              <a:off x="2418042" y="6302096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45" name="Isosceles Triangle 44">
              <a:extLst>
                <a:ext uri="{FF2B5EF4-FFF2-40B4-BE49-F238E27FC236}">
                  <a16:creationId xmlns:a16="http://schemas.microsoft.com/office/drawing/2014/main" id="{00000000-0008-0000-0500-00002D000000}"/>
                </a:ext>
              </a:extLst>
            </xdr:cNvPr>
            <xdr:cNvSpPr/>
          </xdr:nvSpPr>
          <xdr:spPr>
            <a:xfrm rot="16200000">
              <a:off x="2421614" y="6359247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46" name="Isosceles Triangle 45">
              <a:extLst>
                <a:ext uri="{FF2B5EF4-FFF2-40B4-BE49-F238E27FC236}">
                  <a16:creationId xmlns:a16="http://schemas.microsoft.com/office/drawing/2014/main" id="{00000000-0008-0000-0500-00002E000000}"/>
                </a:ext>
              </a:extLst>
            </xdr:cNvPr>
            <xdr:cNvSpPr/>
          </xdr:nvSpPr>
          <xdr:spPr>
            <a:xfrm rot="16200000">
              <a:off x="2421613" y="6418777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47" name="Isosceles Triangle 46">
              <a:extLst>
                <a:ext uri="{FF2B5EF4-FFF2-40B4-BE49-F238E27FC236}">
                  <a16:creationId xmlns:a16="http://schemas.microsoft.com/office/drawing/2014/main" id="{00000000-0008-0000-0500-00002F000000}"/>
                </a:ext>
              </a:extLst>
            </xdr:cNvPr>
            <xdr:cNvSpPr/>
          </xdr:nvSpPr>
          <xdr:spPr>
            <a:xfrm rot="16200000">
              <a:off x="2419232" y="6475928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00000000-0008-0000-0500-000028000000}"/>
              </a:ext>
            </a:extLst>
          </xdr:cNvPr>
          <xdr:cNvGrpSpPr/>
        </xdr:nvGrpSpPr>
        <xdr:grpSpPr>
          <a:xfrm>
            <a:off x="2332671" y="6600589"/>
            <a:ext cx="223603" cy="152875"/>
            <a:chOff x="2332671" y="6600589"/>
            <a:chExt cx="223603" cy="152875"/>
          </a:xfrm>
        </xdr:grpSpPr>
        <xdr:sp macro="" textlink="">
          <xdr:nvSpPr>
            <xdr:cNvPr id="41" name="Isosceles Triangle 40">
              <a:extLst>
                <a:ext uri="{FF2B5EF4-FFF2-40B4-BE49-F238E27FC236}">
                  <a16:creationId xmlns:a16="http://schemas.microsoft.com/office/drawing/2014/main" id="{00000000-0008-0000-0500-000029000000}"/>
                </a:ext>
              </a:extLst>
            </xdr:cNvPr>
            <xdr:cNvSpPr/>
          </xdr:nvSpPr>
          <xdr:spPr>
            <a:xfrm rot="16200000">
              <a:off x="2422804" y="6568797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42" name="Isosceles Triangle 41">
              <a:extLst>
                <a:ext uri="{FF2B5EF4-FFF2-40B4-BE49-F238E27FC236}">
                  <a16:creationId xmlns:a16="http://schemas.microsoft.com/office/drawing/2014/main" id="{00000000-0008-0000-0500-00002A000000}"/>
                </a:ext>
              </a:extLst>
            </xdr:cNvPr>
            <xdr:cNvSpPr/>
          </xdr:nvSpPr>
          <xdr:spPr>
            <a:xfrm rot="16200000">
              <a:off x="2420423" y="6619994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43" name="Isosceles Triangle 42">
              <a:extLst>
                <a:ext uri="{FF2B5EF4-FFF2-40B4-BE49-F238E27FC236}">
                  <a16:creationId xmlns:a16="http://schemas.microsoft.com/office/drawing/2014/main" id="{00000000-0008-0000-0500-00002B000000}"/>
                </a:ext>
              </a:extLst>
            </xdr:cNvPr>
            <xdr:cNvSpPr/>
          </xdr:nvSpPr>
          <xdr:spPr>
            <a:xfrm rot="16200000">
              <a:off x="2420422" y="6512838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</xdr:grpSp>
    <xdr:clientData/>
  </xdr:twoCellAnchor>
  <xdr:twoCellAnchor>
    <xdr:from>
      <xdr:col>6</xdr:col>
      <xdr:colOff>66675</xdr:colOff>
      <xdr:row>20</xdr:row>
      <xdr:rowOff>153109</xdr:rowOff>
    </xdr:from>
    <xdr:to>
      <xdr:col>6</xdr:col>
      <xdr:colOff>66675</xdr:colOff>
      <xdr:row>23</xdr:row>
      <xdr:rowOff>9512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CxnSpPr/>
      </xdr:nvCxnSpPr>
      <xdr:spPr>
        <a:xfrm>
          <a:off x="4048125" y="3982159"/>
          <a:ext cx="0" cy="427903"/>
        </a:xfrm>
        <a:prstGeom prst="straightConnector1">
          <a:avLst/>
        </a:prstGeom>
        <a:ln>
          <a:solidFill>
            <a:srgbClr val="FFFF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66675</xdr:colOff>
      <xdr:row>19</xdr:row>
      <xdr:rowOff>0</xdr:rowOff>
    </xdr:from>
    <xdr:to>
      <xdr:col>6</xdr:col>
      <xdr:colOff>66675</xdr:colOff>
      <xdr:row>21</xdr:row>
      <xdr:rowOff>10234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CxnSpPr/>
      </xdr:nvCxnSpPr>
      <xdr:spPr>
        <a:xfrm>
          <a:off x="4048125" y="3638550"/>
          <a:ext cx="0" cy="391234"/>
        </a:xfrm>
        <a:prstGeom prst="straightConnector1">
          <a:avLst/>
        </a:prstGeom>
        <a:ln>
          <a:solidFill>
            <a:srgbClr val="FFFF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57150</xdr:colOff>
      <xdr:row>11</xdr:row>
      <xdr:rowOff>180975</xdr:rowOff>
    </xdr:from>
    <xdr:to>
      <xdr:col>3</xdr:col>
      <xdr:colOff>57150</xdr:colOff>
      <xdr:row>14</xdr:row>
      <xdr:rowOff>0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CxnSpPr/>
      </xdr:nvCxnSpPr>
      <xdr:spPr>
        <a:xfrm>
          <a:off x="514350" y="2276475"/>
          <a:ext cx="0" cy="3905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57150</xdr:colOff>
      <xdr:row>13</xdr:row>
      <xdr:rowOff>180975</xdr:rowOff>
    </xdr:from>
    <xdr:to>
      <xdr:col>3</xdr:col>
      <xdr:colOff>57150</xdr:colOff>
      <xdr:row>15</xdr:row>
      <xdr:rowOff>191209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00000000-0008-0000-0500-000033000000}"/>
            </a:ext>
          </a:extLst>
        </xdr:cNvPr>
        <xdr:cNvCxnSpPr/>
      </xdr:nvCxnSpPr>
      <xdr:spPr>
        <a:xfrm>
          <a:off x="514350" y="2657475"/>
          <a:ext cx="0" cy="391234"/>
        </a:xfrm>
        <a:prstGeom prst="straightConnector1">
          <a:avLst/>
        </a:prstGeom>
        <a:ln>
          <a:solidFill>
            <a:srgbClr val="FFFF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57150</xdr:colOff>
      <xdr:row>29</xdr:row>
      <xdr:rowOff>19050</xdr:rowOff>
    </xdr:from>
    <xdr:to>
      <xdr:col>16</xdr:col>
      <xdr:colOff>57150</xdr:colOff>
      <xdr:row>31</xdr:row>
      <xdr:rowOff>28575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00000000-0008-0000-0500-000034000000}"/>
            </a:ext>
          </a:extLst>
        </xdr:cNvPr>
        <xdr:cNvCxnSpPr/>
      </xdr:nvCxnSpPr>
      <xdr:spPr>
        <a:xfrm>
          <a:off x="1276350" y="5562600"/>
          <a:ext cx="0" cy="3905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57150</xdr:colOff>
      <xdr:row>32</xdr:row>
      <xdr:rowOff>180975</xdr:rowOff>
    </xdr:from>
    <xdr:to>
      <xdr:col>16</xdr:col>
      <xdr:colOff>57150</xdr:colOff>
      <xdr:row>35</xdr:row>
      <xdr:rowOff>19050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00000000-0008-0000-0500-000035000000}"/>
            </a:ext>
          </a:extLst>
        </xdr:cNvPr>
        <xdr:cNvCxnSpPr/>
      </xdr:nvCxnSpPr>
      <xdr:spPr>
        <a:xfrm>
          <a:off x="1276350" y="6296025"/>
          <a:ext cx="0" cy="4095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27622</xdr:colOff>
      <xdr:row>32</xdr:row>
      <xdr:rowOff>50960</xdr:rowOff>
    </xdr:from>
    <xdr:to>
      <xdr:col>14</xdr:col>
      <xdr:colOff>123827</xdr:colOff>
      <xdr:row>32</xdr:row>
      <xdr:rowOff>96679</xdr:rowOff>
    </xdr:to>
    <xdr:sp macro="" textlink="">
      <xdr:nvSpPr>
        <xdr:cNvPr id="54" name="Isosceles Triangle 53">
          <a:extLst>
            <a:ext uri="{FF2B5EF4-FFF2-40B4-BE49-F238E27FC236}">
              <a16:creationId xmlns:a16="http://schemas.microsoft.com/office/drawing/2014/main" id="{00000000-0008-0000-0500-000036000000}"/>
            </a:ext>
          </a:extLst>
        </xdr:cNvPr>
        <xdr:cNvSpPr/>
      </xdr:nvSpPr>
      <xdr:spPr>
        <a:xfrm rot="16200000">
          <a:off x="448152" y="6078855"/>
          <a:ext cx="45719" cy="220030"/>
        </a:xfrm>
        <a:prstGeom prst="triangl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26431</xdr:colOff>
      <xdr:row>31</xdr:row>
      <xdr:rowOff>16431</xdr:rowOff>
    </xdr:from>
    <xdr:to>
      <xdr:col>14</xdr:col>
      <xdr:colOff>127399</xdr:colOff>
      <xdr:row>32</xdr:row>
      <xdr:rowOff>189548</xdr:rowOff>
    </xdr:to>
    <xdr:grpSp>
      <xdr:nvGrpSpPr>
        <xdr:cNvPr id="55" name="Group 54">
          <a:extLst>
            <a:ext uri="{FF2B5EF4-FFF2-40B4-BE49-F238E27FC236}">
              <a16:creationId xmlns:a16="http://schemas.microsoft.com/office/drawing/2014/main" id="{00000000-0008-0000-0500-000037000000}"/>
            </a:ext>
          </a:extLst>
        </xdr:cNvPr>
        <xdr:cNvGrpSpPr/>
      </xdr:nvGrpSpPr>
      <xdr:grpSpPr>
        <a:xfrm>
          <a:off x="4026931" y="5715556"/>
          <a:ext cx="227968" cy="349330"/>
          <a:chOff x="359806" y="5945744"/>
          <a:chExt cx="225984" cy="363617"/>
        </a:xfrm>
      </xdr:grpSpPr>
      <xdr:grpSp>
        <xdr:nvGrpSpPr>
          <xdr:cNvPr id="56" name="Group 55">
            <a:extLst>
              <a:ext uri="{FF2B5EF4-FFF2-40B4-BE49-F238E27FC236}">
                <a16:creationId xmlns:a16="http://schemas.microsoft.com/office/drawing/2014/main" id="{00000000-0008-0000-0500-000038000000}"/>
              </a:ext>
            </a:extLst>
          </xdr:cNvPr>
          <xdr:cNvGrpSpPr/>
        </xdr:nvGrpSpPr>
        <xdr:grpSpPr>
          <a:xfrm>
            <a:off x="359806" y="5945744"/>
            <a:ext cx="224793" cy="219551"/>
            <a:chOff x="359806" y="5945744"/>
            <a:chExt cx="224793" cy="219551"/>
          </a:xfrm>
        </xdr:grpSpPr>
        <xdr:sp macro="" textlink="">
          <xdr:nvSpPr>
            <xdr:cNvPr id="60" name="Isosceles Triangle 59">
              <a:extLst>
                <a:ext uri="{FF2B5EF4-FFF2-40B4-BE49-F238E27FC236}">
                  <a16:creationId xmlns:a16="http://schemas.microsoft.com/office/drawing/2014/main" id="{00000000-0008-0000-0500-00003C000000}"/>
                </a:ext>
              </a:extLst>
            </xdr:cNvPr>
            <xdr:cNvSpPr/>
          </xdr:nvSpPr>
          <xdr:spPr>
            <a:xfrm rot="16200000">
              <a:off x="449939" y="5857993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61" name="Isosceles Triangle 60">
              <a:extLst>
                <a:ext uri="{FF2B5EF4-FFF2-40B4-BE49-F238E27FC236}">
                  <a16:creationId xmlns:a16="http://schemas.microsoft.com/office/drawing/2014/main" id="{00000000-0008-0000-0500-00003D000000}"/>
                </a:ext>
              </a:extLst>
            </xdr:cNvPr>
            <xdr:cNvSpPr/>
          </xdr:nvSpPr>
          <xdr:spPr>
            <a:xfrm rot="16200000">
              <a:off x="447558" y="5915144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62" name="Isosceles Triangle 61">
              <a:extLst>
                <a:ext uri="{FF2B5EF4-FFF2-40B4-BE49-F238E27FC236}">
                  <a16:creationId xmlns:a16="http://schemas.microsoft.com/office/drawing/2014/main" id="{00000000-0008-0000-0500-00003E000000}"/>
                </a:ext>
              </a:extLst>
            </xdr:cNvPr>
            <xdr:cNvSpPr/>
          </xdr:nvSpPr>
          <xdr:spPr>
            <a:xfrm rot="16200000">
              <a:off x="447557" y="5974674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63" name="Isosceles Triangle 62">
              <a:extLst>
                <a:ext uri="{FF2B5EF4-FFF2-40B4-BE49-F238E27FC236}">
                  <a16:creationId xmlns:a16="http://schemas.microsoft.com/office/drawing/2014/main" id="{00000000-0008-0000-0500-00003F000000}"/>
                </a:ext>
              </a:extLst>
            </xdr:cNvPr>
            <xdr:cNvSpPr/>
          </xdr:nvSpPr>
          <xdr:spPr>
            <a:xfrm rot="16200000">
              <a:off x="451129" y="6031825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57" name="Group 56">
            <a:extLst>
              <a:ext uri="{FF2B5EF4-FFF2-40B4-BE49-F238E27FC236}">
                <a16:creationId xmlns:a16="http://schemas.microsoft.com/office/drawing/2014/main" id="{00000000-0008-0000-0500-000039000000}"/>
              </a:ext>
            </a:extLst>
          </xdr:cNvPr>
          <xdr:cNvGrpSpPr/>
        </xdr:nvGrpSpPr>
        <xdr:grpSpPr>
          <a:xfrm>
            <a:off x="360997" y="6212445"/>
            <a:ext cx="224793" cy="96916"/>
            <a:chOff x="360997" y="6212445"/>
            <a:chExt cx="224793" cy="96916"/>
          </a:xfrm>
        </xdr:grpSpPr>
        <xdr:sp macro="" textlink="">
          <xdr:nvSpPr>
            <xdr:cNvPr id="58" name="Isosceles Triangle 57">
              <a:extLst>
                <a:ext uri="{FF2B5EF4-FFF2-40B4-BE49-F238E27FC236}">
                  <a16:creationId xmlns:a16="http://schemas.microsoft.com/office/drawing/2014/main" id="{00000000-0008-0000-0500-00003A000000}"/>
                </a:ext>
              </a:extLst>
            </xdr:cNvPr>
            <xdr:cNvSpPr/>
          </xdr:nvSpPr>
          <xdr:spPr>
            <a:xfrm rot="16200000">
              <a:off x="448748" y="6124694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59" name="Isosceles Triangle 58">
              <a:extLst>
                <a:ext uri="{FF2B5EF4-FFF2-40B4-BE49-F238E27FC236}">
                  <a16:creationId xmlns:a16="http://schemas.microsoft.com/office/drawing/2014/main" id="{00000000-0008-0000-0500-00003B000000}"/>
                </a:ext>
              </a:extLst>
            </xdr:cNvPr>
            <xdr:cNvSpPr/>
          </xdr:nvSpPr>
          <xdr:spPr>
            <a:xfrm rot="16200000">
              <a:off x="452320" y="6175891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</xdr:grpSp>
    <xdr:clientData/>
  </xdr:twoCellAnchor>
  <xdr:twoCellAnchor>
    <xdr:from>
      <xdr:col>15</xdr:col>
      <xdr:colOff>605075</xdr:colOff>
      <xdr:row>31</xdr:row>
      <xdr:rowOff>20002</xdr:rowOff>
    </xdr:from>
    <xdr:to>
      <xdr:col>17</xdr:col>
      <xdr:colOff>90491</xdr:colOff>
      <xdr:row>33</xdr:row>
      <xdr:rowOff>14526</xdr:rowOff>
    </xdr:to>
    <xdr:grpSp>
      <xdr:nvGrpSpPr>
        <xdr:cNvPr id="64" name="Group 63">
          <a:extLst>
            <a:ext uri="{FF2B5EF4-FFF2-40B4-BE49-F238E27FC236}">
              <a16:creationId xmlns:a16="http://schemas.microsoft.com/office/drawing/2014/main" id="{00000000-0008-0000-0500-000040000000}"/>
            </a:ext>
          </a:extLst>
        </xdr:cNvPr>
        <xdr:cNvGrpSpPr/>
      </xdr:nvGrpSpPr>
      <xdr:grpSpPr>
        <a:xfrm flipH="1">
          <a:off x="4875450" y="5719127"/>
          <a:ext cx="287104" cy="359649"/>
          <a:chOff x="2332671" y="6377940"/>
          <a:chExt cx="228366" cy="375524"/>
        </a:xfrm>
      </xdr:grpSpPr>
      <xdr:grpSp>
        <xdr:nvGrpSpPr>
          <xdr:cNvPr id="65" name="Group 64">
            <a:extLst>
              <a:ext uri="{FF2B5EF4-FFF2-40B4-BE49-F238E27FC236}">
                <a16:creationId xmlns:a16="http://schemas.microsoft.com/office/drawing/2014/main" id="{00000000-0008-0000-0500-000041000000}"/>
              </a:ext>
            </a:extLst>
          </xdr:cNvPr>
          <xdr:cNvGrpSpPr/>
        </xdr:nvGrpSpPr>
        <xdr:grpSpPr>
          <a:xfrm>
            <a:off x="2336244" y="6377940"/>
            <a:ext cx="224793" cy="219551"/>
            <a:chOff x="2333862" y="6389847"/>
            <a:chExt cx="224793" cy="219551"/>
          </a:xfrm>
        </xdr:grpSpPr>
        <xdr:sp macro="" textlink="">
          <xdr:nvSpPr>
            <xdr:cNvPr id="70" name="Isosceles Triangle 69">
              <a:extLst>
                <a:ext uri="{FF2B5EF4-FFF2-40B4-BE49-F238E27FC236}">
                  <a16:creationId xmlns:a16="http://schemas.microsoft.com/office/drawing/2014/main" id="{00000000-0008-0000-0500-000046000000}"/>
                </a:ext>
              </a:extLst>
            </xdr:cNvPr>
            <xdr:cNvSpPr/>
          </xdr:nvSpPr>
          <xdr:spPr>
            <a:xfrm rot="16200000">
              <a:off x="2418042" y="6302096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71" name="Isosceles Triangle 70">
              <a:extLst>
                <a:ext uri="{FF2B5EF4-FFF2-40B4-BE49-F238E27FC236}">
                  <a16:creationId xmlns:a16="http://schemas.microsoft.com/office/drawing/2014/main" id="{00000000-0008-0000-0500-000047000000}"/>
                </a:ext>
              </a:extLst>
            </xdr:cNvPr>
            <xdr:cNvSpPr/>
          </xdr:nvSpPr>
          <xdr:spPr>
            <a:xfrm rot="16200000">
              <a:off x="2421614" y="6359247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72" name="Isosceles Triangle 71">
              <a:extLst>
                <a:ext uri="{FF2B5EF4-FFF2-40B4-BE49-F238E27FC236}">
                  <a16:creationId xmlns:a16="http://schemas.microsoft.com/office/drawing/2014/main" id="{00000000-0008-0000-0500-000048000000}"/>
                </a:ext>
              </a:extLst>
            </xdr:cNvPr>
            <xdr:cNvSpPr/>
          </xdr:nvSpPr>
          <xdr:spPr>
            <a:xfrm rot="16200000">
              <a:off x="2421613" y="6418777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73" name="Isosceles Triangle 72">
              <a:extLst>
                <a:ext uri="{FF2B5EF4-FFF2-40B4-BE49-F238E27FC236}">
                  <a16:creationId xmlns:a16="http://schemas.microsoft.com/office/drawing/2014/main" id="{00000000-0008-0000-0500-000049000000}"/>
                </a:ext>
              </a:extLst>
            </xdr:cNvPr>
            <xdr:cNvSpPr/>
          </xdr:nvSpPr>
          <xdr:spPr>
            <a:xfrm rot="16200000">
              <a:off x="2419232" y="6475928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66" name="Group 65">
            <a:extLst>
              <a:ext uri="{FF2B5EF4-FFF2-40B4-BE49-F238E27FC236}">
                <a16:creationId xmlns:a16="http://schemas.microsoft.com/office/drawing/2014/main" id="{00000000-0008-0000-0500-000042000000}"/>
              </a:ext>
            </a:extLst>
          </xdr:cNvPr>
          <xdr:cNvGrpSpPr/>
        </xdr:nvGrpSpPr>
        <xdr:grpSpPr>
          <a:xfrm>
            <a:off x="2332671" y="6600589"/>
            <a:ext cx="223603" cy="152875"/>
            <a:chOff x="2332671" y="6600589"/>
            <a:chExt cx="223603" cy="152875"/>
          </a:xfrm>
        </xdr:grpSpPr>
        <xdr:sp macro="" textlink="">
          <xdr:nvSpPr>
            <xdr:cNvPr id="67" name="Isosceles Triangle 66">
              <a:extLst>
                <a:ext uri="{FF2B5EF4-FFF2-40B4-BE49-F238E27FC236}">
                  <a16:creationId xmlns:a16="http://schemas.microsoft.com/office/drawing/2014/main" id="{00000000-0008-0000-0500-000043000000}"/>
                </a:ext>
              </a:extLst>
            </xdr:cNvPr>
            <xdr:cNvSpPr/>
          </xdr:nvSpPr>
          <xdr:spPr>
            <a:xfrm rot="16200000">
              <a:off x="2422804" y="6568797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68" name="Isosceles Triangle 67">
              <a:extLst>
                <a:ext uri="{FF2B5EF4-FFF2-40B4-BE49-F238E27FC236}">
                  <a16:creationId xmlns:a16="http://schemas.microsoft.com/office/drawing/2014/main" id="{00000000-0008-0000-0500-000044000000}"/>
                </a:ext>
              </a:extLst>
            </xdr:cNvPr>
            <xdr:cNvSpPr/>
          </xdr:nvSpPr>
          <xdr:spPr>
            <a:xfrm rot="16200000">
              <a:off x="2420423" y="6619994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69" name="Isosceles Triangle 68">
              <a:extLst>
                <a:ext uri="{FF2B5EF4-FFF2-40B4-BE49-F238E27FC236}">
                  <a16:creationId xmlns:a16="http://schemas.microsoft.com/office/drawing/2014/main" id="{00000000-0008-0000-0500-000045000000}"/>
                </a:ext>
              </a:extLst>
            </xdr:cNvPr>
            <xdr:cNvSpPr/>
          </xdr:nvSpPr>
          <xdr:spPr>
            <a:xfrm rot="16200000">
              <a:off x="2420422" y="6512838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</xdr:grpSp>
    <xdr:clientData/>
  </xdr:twoCellAnchor>
  <xdr:twoCellAnchor>
    <xdr:from>
      <xdr:col>15</xdr:col>
      <xdr:colOff>238124</xdr:colOff>
      <xdr:row>29</xdr:row>
      <xdr:rowOff>9525</xdr:rowOff>
    </xdr:from>
    <xdr:to>
      <xdr:col>15</xdr:col>
      <xdr:colOff>371475</xdr:colOff>
      <xdr:row>35</xdr:row>
      <xdr:rowOff>9525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00000000-0008-0000-0500-00004A000000}"/>
            </a:ext>
          </a:extLst>
        </xdr:cNvPr>
        <xdr:cNvSpPr/>
      </xdr:nvSpPr>
      <xdr:spPr>
        <a:xfrm>
          <a:off x="4067174" y="5553075"/>
          <a:ext cx="133351" cy="1143000"/>
        </a:xfrm>
        <a:prstGeom prst="rect">
          <a:avLst/>
        </a:prstGeom>
        <a:solidFill>
          <a:schemeClr val="bg1">
            <a:lumMod val="50000"/>
          </a:schemeClr>
        </a:solidFill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209550</xdr:colOff>
      <xdr:row>5</xdr:row>
      <xdr:rowOff>171450</xdr:rowOff>
    </xdr:from>
    <xdr:to>
      <xdr:col>15</xdr:col>
      <xdr:colOff>390526</xdr:colOff>
      <xdr:row>24</xdr:row>
      <xdr:rowOff>104775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00000000-0008-0000-0500-00004B000000}"/>
            </a:ext>
          </a:extLst>
        </xdr:cNvPr>
        <xdr:cNvSpPr/>
      </xdr:nvSpPr>
      <xdr:spPr>
        <a:xfrm>
          <a:off x="4038600" y="1123950"/>
          <a:ext cx="180976" cy="3571875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238124</xdr:colOff>
      <xdr:row>27</xdr:row>
      <xdr:rowOff>190499</xdr:rowOff>
    </xdr:from>
    <xdr:to>
      <xdr:col>15</xdr:col>
      <xdr:colOff>371476</xdr:colOff>
      <xdr:row>29</xdr:row>
      <xdr:rowOff>9526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00000000-0008-0000-0500-00004C000000}"/>
            </a:ext>
          </a:extLst>
        </xdr:cNvPr>
        <xdr:cNvSpPr/>
      </xdr:nvSpPr>
      <xdr:spPr>
        <a:xfrm>
          <a:off x="4067174" y="5353049"/>
          <a:ext cx="133352" cy="200027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238124</xdr:colOff>
      <xdr:row>24</xdr:row>
      <xdr:rowOff>119063</xdr:rowOff>
    </xdr:from>
    <xdr:to>
      <xdr:col>15</xdr:col>
      <xdr:colOff>371475</xdr:colOff>
      <xdr:row>27</xdr:row>
      <xdr:rowOff>185737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00000000-0008-0000-0500-00004D000000}"/>
            </a:ext>
          </a:extLst>
        </xdr:cNvPr>
        <xdr:cNvSpPr/>
      </xdr:nvSpPr>
      <xdr:spPr>
        <a:xfrm>
          <a:off x="4067174" y="4710113"/>
          <a:ext cx="133351" cy="638174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100013</xdr:colOff>
      <xdr:row>29</xdr:row>
      <xdr:rowOff>133350</xdr:rowOff>
    </xdr:from>
    <xdr:to>
      <xdr:col>15</xdr:col>
      <xdr:colOff>85725</xdr:colOff>
      <xdr:row>30</xdr:row>
      <xdr:rowOff>80963</xdr:rowOff>
    </xdr:to>
    <xdr:sp macro="" textlink="">
      <xdr:nvSpPr>
        <xdr:cNvPr id="78" name="Right Arrow 77">
          <a:extLst>
            <a:ext uri="{FF2B5EF4-FFF2-40B4-BE49-F238E27FC236}">
              <a16:creationId xmlns:a16="http://schemas.microsoft.com/office/drawing/2014/main" id="{00000000-0008-0000-0500-00004E000000}"/>
            </a:ext>
          </a:extLst>
        </xdr:cNvPr>
        <xdr:cNvSpPr/>
      </xdr:nvSpPr>
      <xdr:spPr>
        <a:xfrm>
          <a:off x="3671888" y="5676900"/>
          <a:ext cx="242887" cy="138113"/>
        </a:xfrm>
        <a:prstGeom prst="rightArrow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104775</xdr:colOff>
      <xdr:row>28</xdr:row>
      <xdr:rowOff>38100</xdr:rowOff>
    </xdr:from>
    <xdr:to>
      <xdr:col>15</xdr:col>
      <xdr:colOff>90487</xdr:colOff>
      <xdr:row>28</xdr:row>
      <xdr:rowOff>176213</xdr:rowOff>
    </xdr:to>
    <xdr:sp macro="" textlink="">
      <xdr:nvSpPr>
        <xdr:cNvPr id="79" name="Right Arrow 78">
          <a:extLst>
            <a:ext uri="{FF2B5EF4-FFF2-40B4-BE49-F238E27FC236}">
              <a16:creationId xmlns:a16="http://schemas.microsoft.com/office/drawing/2014/main" id="{00000000-0008-0000-0500-00004F000000}"/>
            </a:ext>
          </a:extLst>
        </xdr:cNvPr>
        <xdr:cNvSpPr/>
      </xdr:nvSpPr>
      <xdr:spPr>
        <a:xfrm>
          <a:off x="3676650" y="5391150"/>
          <a:ext cx="242887" cy="138113"/>
        </a:xfrm>
        <a:prstGeom prst="rightArrow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119062</xdr:colOff>
      <xdr:row>26</xdr:row>
      <xdr:rowOff>52387</xdr:rowOff>
    </xdr:from>
    <xdr:to>
      <xdr:col>15</xdr:col>
      <xdr:colOff>290513</xdr:colOff>
      <xdr:row>27</xdr:row>
      <xdr:rowOff>0</xdr:rowOff>
    </xdr:to>
    <xdr:sp macro="" textlink="">
      <xdr:nvSpPr>
        <xdr:cNvPr id="80" name="Right Arrow 79">
          <a:extLst>
            <a:ext uri="{FF2B5EF4-FFF2-40B4-BE49-F238E27FC236}">
              <a16:creationId xmlns:a16="http://schemas.microsoft.com/office/drawing/2014/main" id="{00000000-0008-0000-0500-000050000000}"/>
            </a:ext>
          </a:extLst>
        </xdr:cNvPr>
        <xdr:cNvSpPr/>
      </xdr:nvSpPr>
      <xdr:spPr>
        <a:xfrm>
          <a:off x="3690937" y="5024437"/>
          <a:ext cx="428626" cy="138113"/>
        </a:xfrm>
        <a:prstGeom prst="rightArrow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220805</xdr:colOff>
      <xdr:row>3</xdr:row>
      <xdr:rowOff>57150</xdr:rowOff>
    </xdr:from>
    <xdr:ext cx="1913659" cy="18478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470" r="9117" b="7165"/>
        <a:stretch/>
      </xdr:blipFill>
      <xdr:spPr>
        <a:xfrm>
          <a:off x="830405" y="771525"/>
          <a:ext cx="1913659" cy="1847850"/>
        </a:xfrm>
        <a:prstGeom prst="rect">
          <a:avLst/>
        </a:prstGeom>
      </xdr:spPr>
    </xdr:pic>
    <xdr:clientData/>
  </xdr:oneCellAnchor>
  <xdr:twoCellAnchor editAs="oneCell">
    <xdr:from>
      <xdr:col>5</xdr:col>
      <xdr:colOff>25977</xdr:colOff>
      <xdr:row>37</xdr:row>
      <xdr:rowOff>86591</xdr:rowOff>
    </xdr:from>
    <xdr:to>
      <xdr:col>5</xdr:col>
      <xdr:colOff>606138</xdr:colOff>
      <xdr:row>40</xdr:row>
      <xdr:rowOff>153266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73696" t="20003" r="12097" b="23625"/>
        <a:stretch/>
      </xdr:blipFill>
      <xdr:spPr>
        <a:xfrm>
          <a:off x="1226127" y="6916016"/>
          <a:ext cx="580161" cy="66675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13</xdr:row>
      <xdr:rowOff>25977</xdr:rowOff>
    </xdr:from>
    <xdr:to>
      <xdr:col>10</xdr:col>
      <xdr:colOff>285750</xdr:colOff>
      <xdr:row>16</xdr:row>
      <xdr:rowOff>43295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pSpPr/>
      </xdr:nvGrpSpPr>
      <xdr:grpSpPr>
        <a:xfrm>
          <a:off x="2165350" y="2572327"/>
          <a:ext cx="635000" cy="569768"/>
          <a:chOff x="1480705" y="2363932"/>
          <a:chExt cx="623454" cy="588818"/>
        </a:xfrm>
      </xdr:grpSpPr>
      <xdr:pic>
        <xdr:nvPicPr>
          <xdr:cNvPr id="5" name="Picture 4" descr="Image result for pressure gauge">
            <a:extLst>
              <a:ext uri="{FF2B5EF4-FFF2-40B4-BE49-F238E27FC236}">
                <a16:creationId xmlns:a16="http://schemas.microsoft.com/office/drawing/2014/main" id="{00000000-0008-0000-0600-000005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2180" t="3639" r="11998" b="3578"/>
          <a:stretch/>
        </xdr:blipFill>
        <xdr:spPr bwMode="auto">
          <a:xfrm>
            <a:off x="1625023" y="2363932"/>
            <a:ext cx="479136" cy="58881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cxnSp macro="">
        <xdr:nvCxnSpPr>
          <xdr:cNvPr id="6" name="Straight Connector 5">
            <a:extLst>
              <a:ext uri="{FF2B5EF4-FFF2-40B4-BE49-F238E27FC236}">
                <a16:creationId xmlns:a16="http://schemas.microsoft.com/office/drawing/2014/main" id="{00000000-0008-0000-0600-000006000000}"/>
              </a:ext>
            </a:extLst>
          </xdr:cNvPr>
          <xdr:cNvCxnSpPr/>
        </xdr:nvCxnSpPr>
        <xdr:spPr>
          <a:xfrm>
            <a:off x="1480705" y="2935433"/>
            <a:ext cx="398318" cy="0"/>
          </a:xfrm>
          <a:prstGeom prst="line">
            <a:avLst/>
          </a:prstGeom>
          <a:ln w="60325">
            <a:solidFill>
              <a:schemeClr val="accent2">
                <a:lumMod val="7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oneCellAnchor>
    <xdr:from>
      <xdr:col>11</xdr:col>
      <xdr:colOff>220805</xdr:colOff>
      <xdr:row>3</xdr:row>
      <xdr:rowOff>57150</xdr:rowOff>
    </xdr:from>
    <xdr:ext cx="1913659" cy="1847850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470" r="9117" b="7165"/>
        <a:stretch/>
      </xdr:blipFill>
      <xdr:spPr>
        <a:xfrm>
          <a:off x="830405" y="771525"/>
          <a:ext cx="1913659" cy="1847850"/>
        </a:xfrm>
        <a:prstGeom prst="rect">
          <a:avLst/>
        </a:prstGeom>
      </xdr:spPr>
    </xdr:pic>
    <xdr:clientData/>
  </xdr:oneCellAnchor>
  <xdr:oneCellAnchor>
    <xdr:from>
      <xdr:col>15</xdr:col>
      <xdr:colOff>25977</xdr:colOff>
      <xdr:row>34</xdr:row>
      <xdr:rowOff>86591</xdr:rowOff>
    </xdr:from>
    <xdr:ext cx="580161" cy="666750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73696" t="20003" r="12097" b="23625"/>
        <a:stretch/>
      </xdr:blipFill>
      <xdr:spPr>
        <a:xfrm>
          <a:off x="1226127" y="7297016"/>
          <a:ext cx="580161" cy="666750"/>
        </a:xfrm>
        <a:prstGeom prst="rect">
          <a:avLst/>
        </a:prstGeom>
      </xdr:spPr>
    </xdr:pic>
    <xdr:clientData/>
  </xdr:oneCellAnchor>
  <xdr:twoCellAnchor>
    <xdr:from>
      <xdr:col>18</xdr:col>
      <xdr:colOff>0</xdr:colOff>
      <xdr:row>13</xdr:row>
      <xdr:rowOff>25977</xdr:rowOff>
    </xdr:from>
    <xdr:to>
      <xdr:col>20</xdr:col>
      <xdr:colOff>285750</xdr:colOff>
      <xdr:row>16</xdr:row>
      <xdr:rowOff>43295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GrpSpPr/>
      </xdr:nvGrpSpPr>
      <xdr:grpSpPr>
        <a:xfrm>
          <a:off x="4806950" y="2572327"/>
          <a:ext cx="635000" cy="569768"/>
          <a:chOff x="1480705" y="2363932"/>
          <a:chExt cx="623454" cy="588818"/>
        </a:xfrm>
      </xdr:grpSpPr>
      <xdr:pic>
        <xdr:nvPicPr>
          <xdr:cNvPr id="10" name="Picture 9" descr="Image result for pressure gauge">
            <a:extLst>
              <a:ext uri="{FF2B5EF4-FFF2-40B4-BE49-F238E27FC236}">
                <a16:creationId xmlns:a16="http://schemas.microsoft.com/office/drawing/2014/main" id="{00000000-0008-0000-0600-00000A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2180" t="3639" r="11998" b="3578"/>
          <a:stretch/>
        </xdr:blipFill>
        <xdr:spPr bwMode="auto">
          <a:xfrm>
            <a:off x="1625023" y="2363932"/>
            <a:ext cx="479136" cy="58881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cxnSp macro="">
        <xdr:nvCxnSpPr>
          <xdr:cNvPr id="11" name="Straight Connector 10">
            <a:extLst>
              <a:ext uri="{FF2B5EF4-FFF2-40B4-BE49-F238E27FC236}">
                <a16:creationId xmlns:a16="http://schemas.microsoft.com/office/drawing/2014/main" id="{00000000-0008-0000-0600-00000B000000}"/>
              </a:ext>
            </a:extLst>
          </xdr:cNvPr>
          <xdr:cNvCxnSpPr/>
        </xdr:nvCxnSpPr>
        <xdr:spPr>
          <a:xfrm>
            <a:off x="1480705" y="2935433"/>
            <a:ext cx="398318" cy="0"/>
          </a:xfrm>
          <a:prstGeom prst="line">
            <a:avLst/>
          </a:prstGeom>
          <a:ln w="60325">
            <a:solidFill>
              <a:schemeClr val="accent2">
                <a:lumMod val="7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oneCellAnchor>
    <xdr:from>
      <xdr:col>21</xdr:col>
      <xdr:colOff>220805</xdr:colOff>
      <xdr:row>3</xdr:row>
      <xdr:rowOff>57150</xdr:rowOff>
    </xdr:from>
    <xdr:ext cx="1913659" cy="1847850"/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470" r="9117" b="7165"/>
        <a:stretch/>
      </xdr:blipFill>
      <xdr:spPr>
        <a:xfrm>
          <a:off x="3354530" y="771525"/>
          <a:ext cx="1913659" cy="1847850"/>
        </a:xfrm>
        <a:prstGeom prst="rect">
          <a:avLst/>
        </a:prstGeom>
      </xdr:spPr>
    </xdr:pic>
    <xdr:clientData/>
  </xdr:oneCellAnchor>
  <xdr:twoCellAnchor>
    <xdr:from>
      <xdr:col>28</xdr:col>
      <xdr:colOff>0</xdr:colOff>
      <xdr:row>13</xdr:row>
      <xdr:rowOff>25977</xdr:rowOff>
    </xdr:from>
    <xdr:to>
      <xdr:col>30</xdr:col>
      <xdr:colOff>285750</xdr:colOff>
      <xdr:row>16</xdr:row>
      <xdr:rowOff>43295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GrpSpPr/>
      </xdr:nvGrpSpPr>
      <xdr:grpSpPr>
        <a:xfrm>
          <a:off x="7448550" y="2572327"/>
          <a:ext cx="635000" cy="569768"/>
          <a:chOff x="1480705" y="2363932"/>
          <a:chExt cx="623454" cy="588818"/>
        </a:xfrm>
      </xdr:grpSpPr>
      <xdr:pic>
        <xdr:nvPicPr>
          <xdr:cNvPr id="15" name="Picture 14" descr="Image result for pressure gauge">
            <a:extLst>
              <a:ext uri="{FF2B5EF4-FFF2-40B4-BE49-F238E27FC236}">
                <a16:creationId xmlns:a16="http://schemas.microsoft.com/office/drawing/2014/main" id="{00000000-0008-0000-0600-00000F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2180" t="3639" r="11998" b="3578"/>
          <a:stretch/>
        </xdr:blipFill>
        <xdr:spPr bwMode="auto">
          <a:xfrm>
            <a:off x="1625023" y="2363932"/>
            <a:ext cx="479136" cy="58881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cxnSp macro="">
        <xdr:nvCxnSpPr>
          <xdr:cNvPr id="16" name="Straight Connector 15">
            <a:extLst>
              <a:ext uri="{FF2B5EF4-FFF2-40B4-BE49-F238E27FC236}">
                <a16:creationId xmlns:a16="http://schemas.microsoft.com/office/drawing/2014/main" id="{00000000-0008-0000-0600-000010000000}"/>
              </a:ext>
            </a:extLst>
          </xdr:cNvPr>
          <xdr:cNvCxnSpPr/>
        </xdr:nvCxnSpPr>
        <xdr:spPr>
          <a:xfrm>
            <a:off x="1480705" y="2935433"/>
            <a:ext cx="398318" cy="0"/>
          </a:xfrm>
          <a:prstGeom prst="line">
            <a:avLst/>
          </a:prstGeom>
          <a:ln w="60325">
            <a:solidFill>
              <a:schemeClr val="accent2">
                <a:lumMod val="7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25</xdr:col>
      <xdr:colOff>38100</xdr:colOff>
      <xdr:row>0</xdr:row>
      <xdr:rowOff>0</xdr:rowOff>
    </xdr:from>
    <xdr:to>
      <xdr:col>25</xdr:col>
      <xdr:colOff>609599</xdr:colOff>
      <xdr:row>50</xdr:row>
      <xdr:rowOff>184303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GrpSpPr/>
      </xdr:nvGrpSpPr>
      <xdr:grpSpPr>
        <a:xfrm>
          <a:off x="6546850" y="0"/>
          <a:ext cx="571499" cy="9671203"/>
          <a:chOff x="6286500" y="95250"/>
          <a:chExt cx="571499" cy="9880753"/>
        </a:xfrm>
      </xdr:grpSpPr>
      <xdr:pic>
        <xdr:nvPicPr>
          <xdr:cNvPr id="18" name="Picture 17" descr="Image result for drilling bit">
            <a:extLst>
              <a:ext uri="{FF2B5EF4-FFF2-40B4-BE49-F238E27FC236}">
                <a16:creationId xmlns:a16="http://schemas.microsoft.com/office/drawing/2014/main" id="{00000000-0008-0000-0600-000012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0800" r="10800" b="3733"/>
          <a:stretch/>
        </xdr:blipFill>
        <xdr:spPr bwMode="auto">
          <a:xfrm flipV="1">
            <a:off x="6286500" y="9229725"/>
            <a:ext cx="571499" cy="74627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00000000-0008-0000-0600-000013000000}"/>
              </a:ext>
            </a:extLst>
          </xdr:cNvPr>
          <xdr:cNvSpPr/>
        </xdr:nvSpPr>
        <xdr:spPr>
          <a:xfrm>
            <a:off x="6410326" y="8366216"/>
            <a:ext cx="314324" cy="1001994"/>
          </a:xfrm>
          <a:prstGeom prst="rect">
            <a:avLst/>
          </a:prstGeom>
          <a:solidFill>
            <a:schemeClr val="bg1">
              <a:lumMod val="75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00000000-0008-0000-0600-000014000000}"/>
              </a:ext>
            </a:extLst>
          </xdr:cNvPr>
          <xdr:cNvSpPr/>
        </xdr:nvSpPr>
        <xdr:spPr>
          <a:xfrm>
            <a:off x="6448426" y="0"/>
            <a:ext cx="228599" cy="8372475"/>
          </a:xfrm>
          <a:prstGeom prst="rect">
            <a:avLst/>
          </a:prstGeom>
          <a:solidFill>
            <a:schemeClr val="bg1">
              <a:lumMod val="75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504825</xdr:colOff>
      <xdr:row>7</xdr:row>
      <xdr:rowOff>304800</xdr:rowOff>
    </xdr:from>
    <xdr:to>
      <xdr:col>12</xdr:col>
      <xdr:colOff>57150</xdr:colOff>
      <xdr:row>7</xdr:row>
      <xdr:rowOff>485775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 rot="16200000">
          <a:off x="7381875" y="1562100"/>
          <a:ext cx="180975" cy="161925"/>
        </a:xfrm>
        <a:prstGeom prst="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5</xdr:row>
      <xdr:rowOff>57150</xdr:rowOff>
    </xdr:from>
    <xdr:to>
      <xdr:col>12</xdr:col>
      <xdr:colOff>0</xdr:colOff>
      <xdr:row>5</xdr:row>
      <xdr:rowOff>57150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CxnSpPr/>
      </xdr:nvCxnSpPr>
      <xdr:spPr>
        <a:xfrm>
          <a:off x="1828800" y="1009650"/>
          <a:ext cx="56673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3</xdr:row>
      <xdr:rowOff>47625</xdr:rowOff>
    </xdr:from>
    <xdr:to>
      <xdr:col>13</xdr:col>
      <xdr:colOff>0</xdr:colOff>
      <xdr:row>3</xdr:row>
      <xdr:rowOff>47625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CxnSpPr/>
      </xdr:nvCxnSpPr>
      <xdr:spPr>
        <a:xfrm>
          <a:off x="1838325" y="619125"/>
          <a:ext cx="62674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13</xdr:row>
      <xdr:rowOff>142875</xdr:rowOff>
    </xdr:from>
    <xdr:to>
      <xdr:col>13</xdr:col>
      <xdr:colOff>9525</xdr:colOff>
      <xdr:row>13</xdr:row>
      <xdr:rowOff>142875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CxnSpPr/>
      </xdr:nvCxnSpPr>
      <xdr:spPr>
        <a:xfrm>
          <a:off x="7496175" y="3476625"/>
          <a:ext cx="6191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219075</xdr:colOff>
      <xdr:row>3</xdr:row>
      <xdr:rowOff>57150</xdr:rowOff>
    </xdr:from>
    <xdr:to>
      <xdr:col>20</xdr:col>
      <xdr:colOff>314325</xdr:colOff>
      <xdr:row>13</xdr:row>
      <xdr:rowOff>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A00-00001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470" r="9117" b="7165"/>
        <a:stretch/>
      </xdr:blipFill>
      <xdr:spPr>
        <a:xfrm>
          <a:off x="1438275" y="247650"/>
          <a:ext cx="1914525" cy="1847850"/>
        </a:xfrm>
        <a:prstGeom prst="rect">
          <a:avLst/>
        </a:prstGeom>
      </xdr:spPr>
    </xdr:pic>
    <xdr:clientData/>
  </xdr:twoCellAnchor>
  <xdr:twoCellAnchor editAs="oneCell">
    <xdr:from>
      <xdr:col>15</xdr:col>
      <xdr:colOff>28575</xdr:colOff>
      <xdr:row>34</xdr:row>
      <xdr:rowOff>171448</xdr:rowOff>
    </xdr:from>
    <xdr:to>
      <xdr:col>15</xdr:col>
      <xdr:colOff>600074</xdr:colOff>
      <xdr:row>38</xdr:row>
      <xdr:rowOff>161919</xdr:rowOff>
    </xdr:to>
    <xdr:pic>
      <xdr:nvPicPr>
        <xdr:cNvPr id="26" name="Picture 25" descr="Image result for drilling bit">
          <a:extLst>
            <a:ext uri="{FF2B5EF4-FFF2-40B4-BE49-F238E27FC236}">
              <a16:creationId xmlns:a16="http://schemas.microsoft.com/office/drawing/2014/main" id="{00000000-0008-0000-0A00-00001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00" r="10800" b="3733"/>
        <a:stretch/>
      </xdr:blipFill>
      <xdr:spPr bwMode="auto">
        <a:xfrm flipV="1">
          <a:off x="1838325" y="6857998"/>
          <a:ext cx="571499" cy="752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152401</xdr:colOff>
      <xdr:row>32</xdr:row>
      <xdr:rowOff>19049</xdr:rowOff>
    </xdr:from>
    <xdr:to>
      <xdr:col>15</xdr:col>
      <xdr:colOff>466725</xdr:colOff>
      <xdr:row>35</xdr:row>
      <xdr:rowOff>160734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A00-000019000000}"/>
            </a:ext>
          </a:extLst>
        </xdr:cNvPr>
        <xdr:cNvSpPr/>
      </xdr:nvSpPr>
      <xdr:spPr>
        <a:xfrm>
          <a:off x="1956198" y="6329362"/>
          <a:ext cx="314324" cy="713185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209551</xdr:colOff>
      <xdr:row>2</xdr:row>
      <xdr:rowOff>65485</xdr:rowOff>
    </xdr:from>
    <xdr:to>
      <xdr:col>15</xdr:col>
      <xdr:colOff>419100</xdr:colOff>
      <xdr:row>32</xdr:row>
      <xdr:rowOff>14288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A00-00001B000000}"/>
            </a:ext>
          </a:extLst>
        </xdr:cNvPr>
        <xdr:cNvSpPr/>
      </xdr:nvSpPr>
      <xdr:spPr>
        <a:xfrm>
          <a:off x="2013348" y="65485"/>
          <a:ext cx="209549" cy="6259116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21</xdr:col>
      <xdr:colOff>219075</xdr:colOff>
      <xdr:row>3</xdr:row>
      <xdr:rowOff>57150</xdr:rowOff>
    </xdr:from>
    <xdr:ext cx="1932214" cy="1870528"/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A00-00001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470" r="9117" b="7165"/>
        <a:stretch/>
      </xdr:blipFill>
      <xdr:spPr>
        <a:xfrm>
          <a:off x="1443718" y="249918"/>
          <a:ext cx="1932214" cy="1870528"/>
        </a:xfrm>
        <a:prstGeom prst="rect">
          <a:avLst/>
        </a:prstGeom>
      </xdr:spPr>
    </xdr:pic>
    <xdr:clientData/>
  </xdr:oneCellAnchor>
  <xdr:twoCellAnchor>
    <xdr:from>
      <xdr:col>25</xdr:col>
      <xdr:colOff>28575</xdr:colOff>
      <xdr:row>2</xdr:row>
      <xdr:rowOff>65485</xdr:rowOff>
    </xdr:from>
    <xdr:to>
      <xdr:col>25</xdr:col>
      <xdr:colOff>600074</xdr:colOff>
      <xdr:row>38</xdr:row>
      <xdr:rowOff>170990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pSpPr/>
      </xdr:nvGrpSpPr>
      <xdr:grpSpPr>
        <a:xfrm>
          <a:off x="6263120" y="538849"/>
          <a:ext cx="571499" cy="6819186"/>
          <a:chOff x="6072620" y="550394"/>
          <a:chExt cx="571499" cy="7032778"/>
        </a:xfrm>
      </xdr:grpSpPr>
      <xdr:pic>
        <xdr:nvPicPr>
          <xdr:cNvPr id="29" name="Picture 28" descr="Image result for drilling bit">
            <a:extLst>
              <a:ext uri="{FF2B5EF4-FFF2-40B4-BE49-F238E27FC236}">
                <a16:creationId xmlns:a16="http://schemas.microsoft.com/office/drawing/2014/main" id="{00000000-0008-0000-0A00-00001D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0800" r="10800" b="3733"/>
          <a:stretch/>
        </xdr:blipFill>
        <xdr:spPr bwMode="auto">
          <a:xfrm flipV="1">
            <a:off x="6072620" y="6821630"/>
            <a:ext cx="571499" cy="76154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00000000-0008-0000-0A00-00001E000000}"/>
              </a:ext>
            </a:extLst>
          </xdr:cNvPr>
          <xdr:cNvSpPr/>
        </xdr:nvSpPr>
        <xdr:spPr>
          <a:xfrm>
            <a:off x="6196446" y="6288231"/>
            <a:ext cx="314324" cy="713185"/>
          </a:xfrm>
          <a:prstGeom prst="rect">
            <a:avLst/>
          </a:prstGeom>
          <a:solidFill>
            <a:schemeClr val="bg1">
              <a:lumMod val="75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1" name="Rectangle 30">
            <a:extLst>
              <a:ext uri="{FF2B5EF4-FFF2-40B4-BE49-F238E27FC236}">
                <a16:creationId xmlns:a16="http://schemas.microsoft.com/office/drawing/2014/main" id="{00000000-0008-0000-0A00-00001F000000}"/>
              </a:ext>
            </a:extLst>
          </xdr:cNvPr>
          <xdr:cNvSpPr/>
        </xdr:nvSpPr>
        <xdr:spPr>
          <a:xfrm>
            <a:off x="6253596" y="550394"/>
            <a:ext cx="209549" cy="5733076"/>
          </a:xfrm>
          <a:prstGeom prst="rect">
            <a:avLst/>
          </a:prstGeom>
          <a:solidFill>
            <a:schemeClr val="bg1">
              <a:lumMod val="75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oneCellAnchor>
    <xdr:from>
      <xdr:col>31</xdr:col>
      <xdr:colOff>219075</xdr:colOff>
      <xdr:row>3</xdr:row>
      <xdr:rowOff>57150</xdr:rowOff>
    </xdr:from>
    <xdr:ext cx="1932214" cy="1870528"/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470" r="9117" b="7165"/>
        <a:stretch/>
      </xdr:blipFill>
      <xdr:spPr>
        <a:xfrm>
          <a:off x="4505325" y="249918"/>
          <a:ext cx="1932214" cy="1870528"/>
        </a:xfrm>
        <a:prstGeom prst="rect">
          <a:avLst/>
        </a:prstGeom>
      </xdr:spPr>
    </xdr:pic>
    <xdr:clientData/>
  </xdr:oneCellAnchor>
  <xdr:oneCellAnchor>
    <xdr:from>
      <xdr:col>35</xdr:col>
      <xdr:colOff>28575</xdr:colOff>
      <xdr:row>44</xdr:row>
      <xdr:rowOff>160109</xdr:rowOff>
    </xdr:from>
    <xdr:ext cx="571499" cy="761542"/>
    <xdr:pic>
      <xdr:nvPicPr>
        <xdr:cNvPr id="33" name="Picture 32" descr="Image result for drilling bit">
          <a:extLst>
            <a:ext uri="{FF2B5EF4-FFF2-40B4-BE49-F238E27FC236}">
              <a16:creationId xmlns:a16="http://schemas.microsoft.com/office/drawing/2014/main" id="{00000000-0008-0000-0A00-00002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00" r="10800" b="3733"/>
        <a:stretch/>
      </xdr:blipFill>
      <xdr:spPr bwMode="auto">
        <a:xfrm flipV="1">
          <a:off x="7977414" y="8301716"/>
          <a:ext cx="571499" cy="761542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</xdr:pic>
    <xdr:clientData/>
  </xdr:oneCellAnchor>
  <xdr:twoCellAnchor>
    <xdr:from>
      <xdr:col>35</xdr:col>
      <xdr:colOff>152401</xdr:colOff>
      <xdr:row>42</xdr:row>
      <xdr:rowOff>7710</xdr:rowOff>
    </xdr:from>
    <xdr:to>
      <xdr:col>35</xdr:col>
      <xdr:colOff>466725</xdr:colOff>
      <xdr:row>45</xdr:row>
      <xdr:rowOff>149395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A00-000022000000}"/>
            </a:ext>
          </a:extLst>
        </xdr:cNvPr>
        <xdr:cNvSpPr/>
      </xdr:nvSpPr>
      <xdr:spPr>
        <a:xfrm>
          <a:off x="8101240" y="7763781"/>
          <a:ext cx="314324" cy="719989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35</xdr:col>
      <xdr:colOff>209552</xdr:colOff>
      <xdr:row>2</xdr:row>
      <xdr:rowOff>65485</xdr:rowOff>
    </xdr:from>
    <xdr:to>
      <xdr:col>35</xdr:col>
      <xdr:colOff>396876</xdr:colOff>
      <xdr:row>42</xdr:row>
      <xdr:rowOff>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A00-000023000000}"/>
            </a:ext>
          </a:extLst>
        </xdr:cNvPr>
        <xdr:cNvSpPr/>
      </xdr:nvSpPr>
      <xdr:spPr>
        <a:xfrm>
          <a:off x="8158391" y="65485"/>
          <a:ext cx="187324" cy="7690586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41</xdr:col>
      <xdr:colOff>219075</xdr:colOff>
      <xdr:row>3</xdr:row>
      <xdr:rowOff>57150</xdr:rowOff>
    </xdr:from>
    <xdr:ext cx="1913659" cy="1847850"/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A00-00002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470" r="9117" b="7165"/>
        <a:stretch/>
      </xdr:blipFill>
      <xdr:spPr>
        <a:xfrm>
          <a:off x="1431348" y="438150"/>
          <a:ext cx="1913659" cy="1847850"/>
        </a:xfrm>
        <a:prstGeom prst="rect">
          <a:avLst/>
        </a:prstGeom>
      </xdr:spPr>
    </xdr:pic>
    <xdr:clientData/>
  </xdr:oneCellAnchor>
  <xdr:twoCellAnchor>
    <xdr:from>
      <xdr:col>45</xdr:col>
      <xdr:colOff>209551</xdr:colOff>
      <xdr:row>2</xdr:row>
      <xdr:rowOff>65485</xdr:rowOff>
    </xdr:from>
    <xdr:to>
      <xdr:col>45</xdr:col>
      <xdr:colOff>419100</xdr:colOff>
      <xdr:row>32</xdr:row>
      <xdr:rowOff>14288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A00-000027000000}"/>
            </a:ext>
          </a:extLst>
        </xdr:cNvPr>
        <xdr:cNvSpPr/>
      </xdr:nvSpPr>
      <xdr:spPr>
        <a:xfrm>
          <a:off x="2010642" y="255985"/>
          <a:ext cx="209549" cy="5681121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45</xdr:col>
      <xdr:colOff>632113</xdr:colOff>
      <xdr:row>34</xdr:row>
      <xdr:rowOff>0</xdr:rowOff>
    </xdr:from>
    <xdr:to>
      <xdr:col>47</xdr:col>
      <xdr:colOff>117529</xdr:colOff>
      <xdr:row>35</xdr:row>
      <xdr:rowOff>185024</xdr:rowOff>
    </xdr:to>
    <xdr:grpSp>
      <xdr:nvGrpSpPr>
        <xdr:cNvPr id="40" name="Group 39">
          <a:extLst>
            <a:ext uri="{FF2B5EF4-FFF2-40B4-BE49-F238E27FC236}">
              <a16:creationId xmlns:a16="http://schemas.microsoft.com/office/drawing/2014/main" id="{00000000-0008-0000-0A00-000028000000}"/>
            </a:ext>
          </a:extLst>
        </xdr:cNvPr>
        <xdr:cNvGrpSpPr/>
      </xdr:nvGrpSpPr>
      <xdr:grpSpPr>
        <a:xfrm flipH="1">
          <a:off x="11877386" y="6448136"/>
          <a:ext cx="282052" cy="369752"/>
          <a:chOff x="2332671" y="6377940"/>
          <a:chExt cx="228366" cy="375524"/>
        </a:xfrm>
      </xdr:grpSpPr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00000000-0008-0000-0A00-000029000000}"/>
              </a:ext>
            </a:extLst>
          </xdr:cNvPr>
          <xdr:cNvGrpSpPr/>
        </xdr:nvGrpSpPr>
        <xdr:grpSpPr>
          <a:xfrm>
            <a:off x="2336244" y="6377940"/>
            <a:ext cx="224793" cy="219551"/>
            <a:chOff x="2333862" y="6389847"/>
            <a:chExt cx="224793" cy="219551"/>
          </a:xfrm>
        </xdr:grpSpPr>
        <xdr:sp macro="" textlink="">
          <xdr:nvSpPr>
            <xdr:cNvPr id="46" name="Isosceles Triangle 45">
              <a:extLst>
                <a:ext uri="{FF2B5EF4-FFF2-40B4-BE49-F238E27FC236}">
                  <a16:creationId xmlns:a16="http://schemas.microsoft.com/office/drawing/2014/main" id="{00000000-0008-0000-0A00-00002E000000}"/>
                </a:ext>
              </a:extLst>
            </xdr:cNvPr>
            <xdr:cNvSpPr/>
          </xdr:nvSpPr>
          <xdr:spPr>
            <a:xfrm rot="16200000">
              <a:off x="2418042" y="6302096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47" name="Isosceles Triangle 46">
              <a:extLst>
                <a:ext uri="{FF2B5EF4-FFF2-40B4-BE49-F238E27FC236}">
                  <a16:creationId xmlns:a16="http://schemas.microsoft.com/office/drawing/2014/main" id="{00000000-0008-0000-0A00-00002F000000}"/>
                </a:ext>
              </a:extLst>
            </xdr:cNvPr>
            <xdr:cNvSpPr/>
          </xdr:nvSpPr>
          <xdr:spPr>
            <a:xfrm rot="16200000">
              <a:off x="2421614" y="6359247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48" name="Isosceles Triangle 47">
              <a:extLst>
                <a:ext uri="{FF2B5EF4-FFF2-40B4-BE49-F238E27FC236}">
                  <a16:creationId xmlns:a16="http://schemas.microsoft.com/office/drawing/2014/main" id="{00000000-0008-0000-0A00-000030000000}"/>
                </a:ext>
              </a:extLst>
            </xdr:cNvPr>
            <xdr:cNvSpPr/>
          </xdr:nvSpPr>
          <xdr:spPr>
            <a:xfrm rot="16200000">
              <a:off x="2421613" y="6418777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49" name="Isosceles Triangle 48">
              <a:extLst>
                <a:ext uri="{FF2B5EF4-FFF2-40B4-BE49-F238E27FC236}">
                  <a16:creationId xmlns:a16="http://schemas.microsoft.com/office/drawing/2014/main" id="{00000000-0008-0000-0A00-000031000000}"/>
                </a:ext>
              </a:extLst>
            </xdr:cNvPr>
            <xdr:cNvSpPr/>
          </xdr:nvSpPr>
          <xdr:spPr>
            <a:xfrm rot="16200000">
              <a:off x="2419232" y="6475928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00000000-0008-0000-0A00-00002A000000}"/>
              </a:ext>
            </a:extLst>
          </xdr:cNvPr>
          <xdr:cNvGrpSpPr/>
        </xdr:nvGrpSpPr>
        <xdr:grpSpPr>
          <a:xfrm>
            <a:off x="2332671" y="6600589"/>
            <a:ext cx="223603" cy="152875"/>
            <a:chOff x="2332671" y="6600589"/>
            <a:chExt cx="223603" cy="152875"/>
          </a:xfrm>
        </xdr:grpSpPr>
        <xdr:sp macro="" textlink="">
          <xdr:nvSpPr>
            <xdr:cNvPr id="43" name="Isosceles Triangle 42">
              <a:extLst>
                <a:ext uri="{FF2B5EF4-FFF2-40B4-BE49-F238E27FC236}">
                  <a16:creationId xmlns:a16="http://schemas.microsoft.com/office/drawing/2014/main" id="{00000000-0008-0000-0A00-00002B000000}"/>
                </a:ext>
              </a:extLst>
            </xdr:cNvPr>
            <xdr:cNvSpPr/>
          </xdr:nvSpPr>
          <xdr:spPr>
            <a:xfrm rot="16200000">
              <a:off x="2422804" y="6568797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44" name="Isosceles Triangle 43">
              <a:extLst>
                <a:ext uri="{FF2B5EF4-FFF2-40B4-BE49-F238E27FC236}">
                  <a16:creationId xmlns:a16="http://schemas.microsoft.com/office/drawing/2014/main" id="{00000000-0008-0000-0A00-00002C000000}"/>
                </a:ext>
              </a:extLst>
            </xdr:cNvPr>
            <xdr:cNvSpPr/>
          </xdr:nvSpPr>
          <xdr:spPr>
            <a:xfrm rot="16200000">
              <a:off x="2420423" y="6619994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45" name="Isosceles Triangle 44">
              <a:extLst>
                <a:ext uri="{FF2B5EF4-FFF2-40B4-BE49-F238E27FC236}">
                  <a16:creationId xmlns:a16="http://schemas.microsoft.com/office/drawing/2014/main" id="{00000000-0008-0000-0A00-00002D000000}"/>
                </a:ext>
              </a:extLst>
            </xdr:cNvPr>
            <xdr:cNvSpPr/>
          </xdr:nvSpPr>
          <xdr:spPr>
            <a:xfrm rot="16200000">
              <a:off x="2420422" y="6512838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</xdr:grpSp>
    <xdr:clientData/>
  </xdr:twoCellAnchor>
  <xdr:twoCellAnchor>
    <xdr:from>
      <xdr:col>43</xdr:col>
      <xdr:colOff>8660</xdr:colOff>
      <xdr:row>34</xdr:row>
      <xdr:rowOff>8659</xdr:rowOff>
    </xdr:from>
    <xdr:to>
      <xdr:col>45</xdr:col>
      <xdr:colOff>4962</xdr:colOff>
      <xdr:row>36</xdr:row>
      <xdr:rowOff>3183</xdr:rowOff>
    </xdr:to>
    <xdr:grpSp>
      <xdr:nvGrpSpPr>
        <xdr:cNvPr id="50" name="Group 49">
          <a:extLst>
            <a:ext uri="{FF2B5EF4-FFF2-40B4-BE49-F238E27FC236}">
              <a16:creationId xmlns:a16="http://schemas.microsoft.com/office/drawing/2014/main" id="{00000000-0008-0000-0A00-000032000000}"/>
            </a:ext>
          </a:extLst>
        </xdr:cNvPr>
        <xdr:cNvGrpSpPr/>
      </xdr:nvGrpSpPr>
      <xdr:grpSpPr>
        <a:xfrm>
          <a:off x="10988387" y="6456795"/>
          <a:ext cx="261848" cy="363979"/>
          <a:chOff x="2332671" y="6377940"/>
          <a:chExt cx="228366" cy="375524"/>
        </a:xfrm>
      </xdr:grpSpPr>
      <xdr:grpSp>
        <xdr:nvGrpSpPr>
          <xdr:cNvPr id="51" name="Group 50">
            <a:extLst>
              <a:ext uri="{FF2B5EF4-FFF2-40B4-BE49-F238E27FC236}">
                <a16:creationId xmlns:a16="http://schemas.microsoft.com/office/drawing/2014/main" id="{00000000-0008-0000-0A00-000033000000}"/>
              </a:ext>
            </a:extLst>
          </xdr:cNvPr>
          <xdr:cNvGrpSpPr/>
        </xdr:nvGrpSpPr>
        <xdr:grpSpPr>
          <a:xfrm>
            <a:off x="2336244" y="6377940"/>
            <a:ext cx="224793" cy="219551"/>
            <a:chOff x="2333862" y="6389847"/>
            <a:chExt cx="224793" cy="219551"/>
          </a:xfrm>
        </xdr:grpSpPr>
        <xdr:sp macro="" textlink="">
          <xdr:nvSpPr>
            <xdr:cNvPr id="56" name="Isosceles Triangle 55">
              <a:extLst>
                <a:ext uri="{FF2B5EF4-FFF2-40B4-BE49-F238E27FC236}">
                  <a16:creationId xmlns:a16="http://schemas.microsoft.com/office/drawing/2014/main" id="{00000000-0008-0000-0A00-000038000000}"/>
                </a:ext>
              </a:extLst>
            </xdr:cNvPr>
            <xdr:cNvSpPr/>
          </xdr:nvSpPr>
          <xdr:spPr>
            <a:xfrm rot="16200000">
              <a:off x="2418042" y="6302096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57" name="Isosceles Triangle 56">
              <a:extLst>
                <a:ext uri="{FF2B5EF4-FFF2-40B4-BE49-F238E27FC236}">
                  <a16:creationId xmlns:a16="http://schemas.microsoft.com/office/drawing/2014/main" id="{00000000-0008-0000-0A00-000039000000}"/>
                </a:ext>
              </a:extLst>
            </xdr:cNvPr>
            <xdr:cNvSpPr/>
          </xdr:nvSpPr>
          <xdr:spPr>
            <a:xfrm rot="16200000">
              <a:off x="2421614" y="6359247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58" name="Isosceles Triangle 57">
              <a:extLst>
                <a:ext uri="{FF2B5EF4-FFF2-40B4-BE49-F238E27FC236}">
                  <a16:creationId xmlns:a16="http://schemas.microsoft.com/office/drawing/2014/main" id="{00000000-0008-0000-0A00-00003A000000}"/>
                </a:ext>
              </a:extLst>
            </xdr:cNvPr>
            <xdr:cNvSpPr/>
          </xdr:nvSpPr>
          <xdr:spPr>
            <a:xfrm rot="16200000">
              <a:off x="2421613" y="6418777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59" name="Isosceles Triangle 58">
              <a:extLst>
                <a:ext uri="{FF2B5EF4-FFF2-40B4-BE49-F238E27FC236}">
                  <a16:creationId xmlns:a16="http://schemas.microsoft.com/office/drawing/2014/main" id="{00000000-0008-0000-0A00-00003B000000}"/>
                </a:ext>
              </a:extLst>
            </xdr:cNvPr>
            <xdr:cNvSpPr/>
          </xdr:nvSpPr>
          <xdr:spPr>
            <a:xfrm rot="16200000">
              <a:off x="2419232" y="6475928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52" name="Group 51">
            <a:extLst>
              <a:ext uri="{FF2B5EF4-FFF2-40B4-BE49-F238E27FC236}">
                <a16:creationId xmlns:a16="http://schemas.microsoft.com/office/drawing/2014/main" id="{00000000-0008-0000-0A00-000034000000}"/>
              </a:ext>
            </a:extLst>
          </xdr:cNvPr>
          <xdr:cNvGrpSpPr/>
        </xdr:nvGrpSpPr>
        <xdr:grpSpPr>
          <a:xfrm>
            <a:off x="2332671" y="6600589"/>
            <a:ext cx="223603" cy="152875"/>
            <a:chOff x="2332671" y="6600589"/>
            <a:chExt cx="223603" cy="152875"/>
          </a:xfrm>
        </xdr:grpSpPr>
        <xdr:sp macro="" textlink="">
          <xdr:nvSpPr>
            <xdr:cNvPr id="53" name="Isosceles Triangle 52">
              <a:extLst>
                <a:ext uri="{FF2B5EF4-FFF2-40B4-BE49-F238E27FC236}">
                  <a16:creationId xmlns:a16="http://schemas.microsoft.com/office/drawing/2014/main" id="{00000000-0008-0000-0A00-000035000000}"/>
                </a:ext>
              </a:extLst>
            </xdr:cNvPr>
            <xdr:cNvSpPr/>
          </xdr:nvSpPr>
          <xdr:spPr>
            <a:xfrm rot="16200000">
              <a:off x="2422804" y="6568797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54" name="Isosceles Triangle 53">
              <a:extLst>
                <a:ext uri="{FF2B5EF4-FFF2-40B4-BE49-F238E27FC236}">
                  <a16:creationId xmlns:a16="http://schemas.microsoft.com/office/drawing/2014/main" id="{00000000-0008-0000-0A00-000036000000}"/>
                </a:ext>
              </a:extLst>
            </xdr:cNvPr>
            <xdr:cNvSpPr/>
          </xdr:nvSpPr>
          <xdr:spPr>
            <a:xfrm rot="16200000">
              <a:off x="2420423" y="6619994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55" name="Isosceles Triangle 54">
              <a:extLst>
                <a:ext uri="{FF2B5EF4-FFF2-40B4-BE49-F238E27FC236}">
                  <a16:creationId xmlns:a16="http://schemas.microsoft.com/office/drawing/2014/main" id="{00000000-0008-0000-0A00-000037000000}"/>
                </a:ext>
              </a:extLst>
            </xdr:cNvPr>
            <xdr:cNvSpPr/>
          </xdr:nvSpPr>
          <xdr:spPr>
            <a:xfrm rot="16200000">
              <a:off x="2420422" y="6512838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</xdr:grpSp>
    <xdr:clientData/>
  </xdr:twoCellAnchor>
  <xdr:oneCellAnchor>
    <xdr:from>
      <xdr:col>61</xdr:col>
      <xdr:colOff>219075</xdr:colOff>
      <xdr:row>3</xdr:row>
      <xdr:rowOff>57150</xdr:rowOff>
    </xdr:from>
    <xdr:ext cx="1913659" cy="1847850"/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A00-00003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470" r="9117" b="7165"/>
        <a:stretch/>
      </xdr:blipFill>
      <xdr:spPr>
        <a:xfrm>
          <a:off x="9917257" y="438150"/>
          <a:ext cx="1913659" cy="1847850"/>
        </a:xfrm>
        <a:prstGeom prst="rect">
          <a:avLst/>
        </a:prstGeom>
      </xdr:spPr>
    </xdr:pic>
    <xdr:clientData/>
  </xdr:oneCellAnchor>
  <xdr:twoCellAnchor>
    <xdr:from>
      <xdr:col>65</xdr:col>
      <xdr:colOff>209551</xdr:colOff>
      <xdr:row>2</xdr:row>
      <xdr:rowOff>65485</xdr:rowOff>
    </xdr:from>
    <xdr:to>
      <xdr:col>65</xdr:col>
      <xdr:colOff>419100</xdr:colOff>
      <xdr:row>33</xdr:row>
      <xdr:rowOff>173182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00000000-0008-0000-0A00-00003D000000}"/>
            </a:ext>
          </a:extLst>
        </xdr:cNvPr>
        <xdr:cNvSpPr/>
      </xdr:nvSpPr>
      <xdr:spPr>
        <a:xfrm>
          <a:off x="12921096" y="255985"/>
          <a:ext cx="209549" cy="6030515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66</xdr:col>
      <xdr:colOff>6927</xdr:colOff>
      <xdr:row>34</xdr:row>
      <xdr:rowOff>0</xdr:rowOff>
    </xdr:from>
    <xdr:to>
      <xdr:col>67</xdr:col>
      <xdr:colOff>117529</xdr:colOff>
      <xdr:row>35</xdr:row>
      <xdr:rowOff>185024</xdr:rowOff>
    </xdr:to>
    <xdr:grpSp>
      <xdr:nvGrpSpPr>
        <xdr:cNvPr id="62" name="Group 61">
          <a:extLst>
            <a:ext uri="{FF2B5EF4-FFF2-40B4-BE49-F238E27FC236}">
              <a16:creationId xmlns:a16="http://schemas.microsoft.com/office/drawing/2014/main" id="{00000000-0008-0000-0A00-00003E000000}"/>
            </a:ext>
          </a:extLst>
        </xdr:cNvPr>
        <xdr:cNvGrpSpPr/>
      </xdr:nvGrpSpPr>
      <xdr:grpSpPr>
        <a:xfrm flipH="1">
          <a:off x="16921018" y="6448136"/>
          <a:ext cx="249147" cy="369752"/>
          <a:chOff x="2332671" y="6377940"/>
          <a:chExt cx="228366" cy="375524"/>
        </a:xfrm>
      </xdr:grpSpPr>
      <xdr:grpSp>
        <xdr:nvGrpSpPr>
          <xdr:cNvPr id="63" name="Group 62">
            <a:extLst>
              <a:ext uri="{FF2B5EF4-FFF2-40B4-BE49-F238E27FC236}">
                <a16:creationId xmlns:a16="http://schemas.microsoft.com/office/drawing/2014/main" id="{00000000-0008-0000-0A00-00003F000000}"/>
              </a:ext>
            </a:extLst>
          </xdr:cNvPr>
          <xdr:cNvGrpSpPr/>
        </xdr:nvGrpSpPr>
        <xdr:grpSpPr>
          <a:xfrm>
            <a:off x="2336244" y="6377940"/>
            <a:ext cx="224793" cy="219551"/>
            <a:chOff x="2333862" y="6389847"/>
            <a:chExt cx="224793" cy="219551"/>
          </a:xfrm>
        </xdr:grpSpPr>
        <xdr:sp macro="" textlink="">
          <xdr:nvSpPr>
            <xdr:cNvPr id="68" name="Isosceles Triangle 67">
              <a:extLst>
                <a:ext uri="{FF2B5EF4-FFF2-40B4-BE49-F238E27FC236}">
                  <a16:creationId xmlns:a16="http://schemas.microsoft.com/office/drawing/2014/main" id="{00000000-0008-0000-0A00-000044000000}"/>
                </a:ext>
              </a:extLst>
            </xdr:cNvPr>
            <xdr:cNvSpPr/>
          </xdr:nvSpPr>
          <xdr:spPr>
            <a:xfrm rot="16200000">
              <a:off x="2418042" y="6302096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69" name="Isosceles Triangle 68">
              <a:extLst>
                <a:ext uri="{FF2B5EF4-FFF2-40B4-BE49-F238E27FC236}">
                  <a16:creationId xmlns:a16="http://schemas.microsoft.com/office/drawing/2014/main" id="{00000000-0008-0000-0A00-000045000000}"/>
                </a:ext>
              </a:extLst>
            </xdr:cNvPr>
            <xdr:cNvSpPr/>
          </xdr:nvSpPr>
          <xdr:spPr>
            <a:xfrm rot="16200000">
              <a:off x="2421614" y="6359247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70" name="Isosceles Triangle 69">
              <a:extLst>
                <a:ext uri="{FF2B5EF4-FFF2-40B4-BE49-F238E27FC236}">
                  <a16:creationId xmlns:a16="http://schemas.microsoft.com/office/drawing/2014/main" id="{00000000-0008-0000-0A00-000046000000}"/>
                </a:ext>
              </a:extLst>
            </xdr:cNvPr>
            <xdr:cNvSpPr/>
          </xdr:nvSpPr>
          <xdr:spPr>
            <a:xfrm rot="16200000">
              <a:off x="2421613" y="6418777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71" name="Isosceles Triangle 70">
              <a:extLst>
                <a:ext uri="{FF2B5EF4-FFF2-40B4-BE49-F238E27FC236}">
                  <a16:creationId xmlns:a16="http://schemas.microsoft.com/office/drawing/2014/main" id="{00000000-0008-0000-0A00-000047000000}"/>
                </a:ext>
              </a:extLst>
            </xdr:cNvPr>
            <xdr:cNvSpPr/>
          </xdr:nvSpPr>
          <xdr:spPr>
            <a:xfrm rot="16200000">
              <a:off x="2419232" y="6475928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64" name="Group 63">
            <a:extLst>
              <a:ext uri="{FF2B5EF4-FFF2-40B4-BE49-F238E27FC236}">
                <a16:creationId xmlns:a16="http://schemas.microsoft.com/office/drawing/2014/main" id="{00000000-0008-0000-0A00-000040000000}"/>
              </a:ext>
            </a:extLst>
          </xdr:cNvPr>
          <xdr:cNvGrpSpPr/>
        </xdr:nvGrpSpPr>
        <xdr:grpSpPr>
          <a:xfrm>
            <a:off x="2332671" y="6600589"/>
            <a:ext cx="223603" cy="152875"/>
            <a:chOff x="2332671" y="6600589"/>
            <a:chExt cx="223603" cy="152875"/>
          </a:xfrm>
        </xdr:grpSpPr>
        <xdr:sp macro="" textlink="">
          <xdr:nvSpPr>
            <xdr:cNvPr id="65" name="Isosceles Triangle 64">
              <a:extLst>
                <a:ext uri="{FF2B5EF4-FFF2-40B4-BE49-F238E27FC236}">
                  <a16:creationId xmlns:a16="http://schemas.microsoft.com/office/drawing/2014/main" id="{00000000-0008-0000-0A00-000041000000}"/>
                </a:ext>
              </a:extLst>
            </xdr:cNvPr>
            <xdr:cNvSpPr/>
          </xdr:nvSpPr>
          <xdr:spPr>
            <a:xfrm rot="16200000">
              <a:off x="2422804" y="6568797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66" name="Isosceles Triangle 65">
              <a:extLst>
                <a:ext uri="{FF2B5EF4-FFF2-40B4-BE49-F238E27FC236}">
                  <a16:creationId xmlns:a16="http://schemas.microsoft.com/office/drawing/2014/main" id="{00000000-0008-0000-0A00-000042000000}"/>
                </a:ext>
              </a:extLst>
            </xdr:cNvPr>
            <xdr:cNvSpPr/>
          </xdr:nvSpPr>
          <xdr:spPr>
            <a:xfrm rot="16200000">
              <a:off x="2420423" y="6619994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67" name="Isosceles Triangle 66">
              <a:extLst>
                <a:ext uri="{FF2B5EF4-FFF2-40B4-BE49-F238E27FC236}">
                  <a16:creationId xmlns:a16="http://schemas.microsoft.com/office/drawing/2014/main" id="{00000000-0008-0000-0A00-000043000000}"/>
                </a:ext>
              </a:extLst>
            </xdr:cNvPr>
            <xdr:cNvSpPr/>
          </xdr:nvSpPr>
          <xdr:spPr>
            <a:xfrm rot="16200000">
              <a:off x="2420422" y="6512838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</xdr:grpSp>
    <xdr:clientData/>
  </xdr:twoCellAnchor>
  <xdr:twoCellAnchor>
    <xdr:from>
      <xdr:col>63</xdr:col>
      <xdr:colOff>8660</xdr:colOff>
      <xdr:row>34</xdr:row>
      <xdr:rowOff>8659</xdr:rowOff>
    </xdr:from>
    <xdr:to>
      <xdr:col>65</xdr:col>
      <xdr:colOff>4962</xdr:colOff>
      <xdr:row>36</xdr:row>
      <xdr:rowOff>3183</xdr:rowOff>
    </xdr:to>
    <xdr:grpSp>
      <xdr:nvGrpSpPr>
        <xdr:cNvPr id="72" name="Group 71">
          <a:extLst>
            <a:ext uri="{FF2B5EF4-FFF2-40B4-BE49-F238E27FC236}">
              <a16:creationId xmlns:a16="http://schemas.microsoft.com/office/drawing/2014/main" id="{00000000-0008-0000-0A00-000048000000}"/>
            </a:ext>
          </a:extLst>
        </xdr:cNvPr>
        <xdr:cNvGrpSpPr/>
      </xdr:nvGrpSpPr>
      <xdr:grpSpPr>
        <a:xfrm>
          <a:off x="15999115" y="6456795"/>
          <a:ext cx="261847" cy="363979"/>
          <a:chOff x="2332671" y="6377940"/>
          <a:chExt cx="228366" cy="375524"/>
        </a:xfrm>
      </xdr:grpSpPr>
      <xdr:grpSp>
        <xdr:nvGrpSpPr>
          <xdr:cNvPr id="73" name="Group 72">
            <a:extLst>
              <a:ext uri="{FF2B5EF4-FFF2-40B4-BE49-F238E27FC236}">
                <a16:creationId xmlns:a16="http://schemas.microsoft.com/office/drawing/2014/main" id="{00000000-0008-0000-0A00-000049000000}"/>
              </a:ext>
            </a:extLst>
          </xdr:cNvPr>
          <xdr:cNvGrpSpPr/>
        </xdr:nvGrpSpPr>
        <xdr:grpSpPr>
          <a:xfrm>
            <a:off x="2336244" y="6377940"/>
            <a:ext cx="224793" cy="219551"/>
            <a:chOff x="2333862" y="6389847"/>
            <a:chExt cx="224793" cy="219551"/>
          </a:xfrm>
        </xdr:grpSpPr>
        <xdr:sp macro="" textlink="">
          <xdr:nvSpPr>
            <xdr:cNvPr id="78" name="Isosceles Triangle 77">
              <a:extLst>
                <a:ext uri="{FF2B5EF4-FFF2-40B4-BE49-F238E27FC236}">
                  <a16:creationId xmlns:a16="http://schemas.microsoft.com/office/drawing/2014/main" id="{00000000-0008-0000-0A00-00004E000000}"/>
                </a:ext>
              </a:extLst>
            </xdr:cNvPr>
            <xdr:cNvSpPr/>
          </xdr:nvSpPr>
          <xdr:spPr>
            <a:xfrm rot="16200000">
              <a:off x="2418042" y="6302096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79" name="Isosceles Triangle 78">
              <a:extLst>
                <a:ext uri="{FF2B5EF4-FFF2-40B4-BE49-F238E27FC236}">
                  <a16:creationId xmlns:a16="http://schemas.microsoft.com/office/drawing/2014/main" id="{00000000-0008-0000-0A00-00004F000000}"/>
                </a:ext>
              </a:extLst>
            </xdr:cNvPr>
            <xdr:cNvSpPr/>
          </xdr:nvSpPr>
          <xdr:spPr>
            <a:xfrm rot="16200000">
              <a:off x="2421614" y="6359247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80" name="Isosceles Triangle 79">
              <a:extLst>
                <a:ext uri="{FF2B5EF4-FFF2-40B4-BE49-F238E27FC236}">
                  <a16:creationId xmlns:a16="http://schemas.microsoft.com/office/drawing/2014/main" id="{00000000-0008-0000-0A00-000050000000}"/>
                </a:ext>
              </a:extLst>
            </xdr:cNvPr>
            <xdr:cNvSpPr/>
          </xdr:nvSpPr>
          <xdr:spPr>
            <a:xfrm rot="16200000">
              <a:off x="2421613" y="6418777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81" name="Isosceles Triangle 80">
              <a:extLst>
                <a:ext uri="{FF2B5EF4-FFF2-40B4-BE49-F238E27FC236}">
                  <a16:creationId xmlns:a16="http://schemas.microsoft.com/office/drawing/2014/main" id="{00000000-0008-0000-0A00-000051000000}"/>
                </a:ext>
              </a:extLst>
            </xdr:cNvPr>
            <xdr:cNvSpPr/>
          </xdr:nvSpPr>
          <xdr:spPr>
            <a:xfrm rot="16200000">
              <a:off x="2419232" y="6475928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74" name="Group 73">
            <a:extLst>
              <a:ext uri="{FF2B5EF4-FFF2-40B4-BE49-F238E27FC236}">
                <a16:creationId xmlns:a16="http://schemas.microsoft.com/office/drawing/2014/main" id="{00000000-0008-0000-0A00-00004A000000}"/>
              </a:ext>
            </a:extLst>
          </xdr:cNvPr>
          <xdr:cNvGrpSpPr/>
        </xdr:nvGrpSpPr>
        <xdr:grpSpPr>
          <a:xfrm>
            <a:off x="2332671" y="6600589"/>
            <a:ext cx="223603" cy="152875"/>
            <a:chOff x="2332671" y="6600589"/>
            <a:chExt cx="223603" cy="152875"/>
          </a:xfrm>
        </xdr:grpSpPr>
        <xdr:sp macro="" textlink="">
          <xdr:nvSpPr>
            <xdr:cNvPr id="75" name="Isosceles Triangle 74">
              <a:extLst>
                <a:ext uri="{FF2B5EF4-FFF2-40B4-BE49-F238E27FC236}">
                  <a16:creationId xmlns:a16="http://schemas.microsoft.com/office/drawing/2014/main" id="{00000000-0008-0000-0A00-00004B000000}"/>
                </a:ext>
              </a:extLst>
            </xdr:cNvPr>
            <xdr:cNvSpPr/>
          </xdr:nvSpPr>
          <xdr:spPr>
            <a:xfrm rot="16200000">
              <a:off x="2422804" y="6568797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76" name="Isosceles Triangle 75">
              <a:extLst>
                <a:ext uri="{FF2B5EF4-FFF2-40B4-BE49-F238E27FC236}">
                  <a16:creationId xmlns:a16="http://schemas.microsoft.com/office/drawing/2014/main" id="{00000000-0008-0000-0A00-00004C000000}"/>
                </a:ext>
              </a:extLst>
            </xdr:cNvPr>
            <xdr:cNvSpPr/>
          </xdr:nvSpPr>
          <xdr:spPr>
            <a:xfrm rot="16200000">
              <a:off x="2420423" y="6619994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77" name="Isosceles Triangle 76">
              <a:extLst>
                <a:ext uri="{FF2B5EF4-FFF2-40B4-BE49-F238E27FC236}">
                  <a16:creationId xmlns:a16="http://schemas.microsoft.com/office/drawing/2014/main" id="{00000000-0008-0000-0A00-00004D000000}"/>
                </a:ext>
              </a:extLst>
            </xdr:cNvPr>
            <xdr:cNvSpPr/>
          </xdr:nvSpPr>
          <xdr:spPr>
            <a:xfrm rot="16200000">
              <a:off x="2420422" y="6512838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</xdr:grpSp>
    <xdr:clientData/>
  </xdr:twoCellAnchor>
  <xdr:twoCellAnchor>
    <xdr:from>
      <xdr:col>65</xdr:col>
      <xdr:colOff>147205</xdr:colOff>
      <xdr:row>29</xdr:row>
      <xdr:rowOff>155864</xdr:rowOff>
    </xdr:from>
    <xdr:to>
      <xdr:col>65</xdr:col>
      <xdr:colOff>484910</xdr:colOff>
      <xdr:row>30</xdr:row>
      <xdr:rowOff>173182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0000000-0008-0000-0A00-000052000000}"/>
            </a:ext>
          </a:extLst>
        </xdr:cNvPr>
        <xdr:cNvSpPr/>
      </xdr:nvSpPr>
      <xdr:spPr>
        <a:xfrm>
          <a:off x="12858750" y="5507182"/>
          <a:ext cx="337705" cy="207818"/>
        </a:xfrm>
        <a:prstGeom prst="rect">
          <a:avLst/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70</xdr:col>
      <xdr:colOff>337703</xdr:colOff>
      <xdr:row>1</xdr:row>
      <xdr:rowOff>43296</xdr:rowOff>
    </xdr:from>
    <xdr:to>
      <xdr:col>76</xdr:col>
      <xdr:colOff>69273</xdr:colOff>
      <xdr:row>35</xdr:row>
      <xdr:rowOff>147204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00000000-0008-0000-0A00-00005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3853"/>
        <a:stretch/>
      </xdr:blipFill>
      <xdr:spPr bwMode="auto">
        <a:xfrm>
          <a:off x="16703385" y="285751"/>
          <a:ext cx="3368388" cy="67021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487505</xdr:colOff>
      <xdr:row>3</xdr:row>
      <xdr:rowOff>57150</xdr:rowOff>
    </xdr:from>
    <xdr:ext cx="1913659" cy="1847850"/>
    <xdr:pic>
      <xdr:nvPicPr>
        <xdr:cNvPr id="84" name="Picture 83">
          <a:extLst>
            <a:ext uri="{FF2B5EF4-FFF2-40B4-BE49-F238E27FC236}">
              <a16:creationId xmlns:a16="http://schemas.microsoft.com/office/drawing/2014/main" id="{00000000-0008-0000-0A00-00005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470" r="9117" b="7165"/>
        <a:stretch/>
      </xdr:blipFill>
      <xdr:spPr>
        <a:xfrm>
          <a:off x="487505" y="784514"/>
          <a:ext cx="1913659" cy="1847850"/>
        </a:xfrm>
        <a:prstGeom prst="rect">
          <a:avLst/>
        </a:prstGeom>
      </xdr:spPr>
    </xdr:pic>
    <xdr:clientData/>
  </xdr:oneCellAnchor>
  <xdr:twoCellAnchor editAs="oneCell">
    <xdr:from>
      <xdr:col>5</xdr:col>
      <xdr:colOff>25977</xdr:colOff>
      <xdr:row>35</xdr:row>
      <xdr:rowOff>86591</xdr:rowOff>
    </xdr:from>
    <xdr:to>
      <xdr:col>5</xdr:col>
      <xdr:colOff>606138</xdr:colOff>
      <xdr:row>38</xdr:row>
      <xdr:rowOff>181841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00000000-0008-0000-0A00-00005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73696" t="20003" r="12097" b="23625"/>
        <a:stretch/>
      </xdr:blipFill>
      <xdr:spPr>
        <a:xfrm>
          <a:off x="614795" y="6632864"/>
          <a:ext cx="580161" cy="66675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13</xdr:row>
      <xdr:rowOff>25977</xdr:rowOff>
    </xdr:from>
    <xdr:to>
      <xdr:col>10</xdr:col>
      <xdr:colOff>285750</xdr:colOff>
      <xdr:row>16</xdr:row>
      <xdr:rowOff>43295</xdr:rowOff>
    </xdr:to>
    <xdr:grpSp>
      <xdr:nvGrpSpPr>
        <xdr:cNvPr id="92" name="Group 91">
          <a:extLst>
            <a:ext uri="{FF2B5EF4-FFF2-40B4-BE49-F238E27FC236}">
              <a16:creationId xmlns:a16="http://schemas.microsoft.com/office/drawing/2014/main" id="{00000000-0008-0000-0A00-00005C000000}"/>
            </a:ext>
          </a:extLst>
        </xdr:cNvPr>
        <xdr:cNvGrpSpPr/>
      </xdr:nvGrpSpPr>
      <xdr:grpSpPr>
        <a:xfrm>
          <a:off x="2159000" y="2583295"/>
          <a:ext cx="632114" cy="571500"/>
          <a:chOff x="1480705" y="2363932"/>
          <a:chExt cx="623454" cy="588818"/>
        </a:xfrm>
      </xdr:grpSpPr>
      <xdr:pic>
        <xdr:nvPicPr>
          <xdr:cNvPr id="89" name="Picture 88" descr="Image result for pressure gauge">
            <a:extLst>
              <a:ext uri="{FF2B5EF4-FFF2-40B4-BE49-F238E27FC236}">
                <a16:creationId xmlns:a16="http://schemas.microsoft.com/office/drawing/2014/main" id="{00000000-0008-0000-0A00-000059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2180" t="3639" r="11998" b="3578"/>
          <a:stretch/>
        </xdr:blipFill>
        <xdr:spPr bwMode="auto">
          <a:xfrm>
            <a:off x="1625023" y="2363932"/>
            <a:ext cx="479136" cy="58881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cxnSp macro="">
        <xdr:nvCxnSpPr>
          <xdr:cNvPr id="91" name="Straight Connector 90">
            <a:extLst>
              <a:ext uri="{FF2B5EF4-FFF2-40B4-BE49-F238E27FC236}">
                <a16:creationId xmlns:a16="http://schemas.microsoft.com/office/drawing/2014/main" id="{00000000-0008-0000-0A00-00005B000000}"/>
              </a:ext>
            </a:extLst>
          </xdr:cNvPr>
          <xdr:cNvCxnSpPr/>
        </xdr:nvCxnSpPr>
        <xdr:spPr>
          <a:xfrm>
            <a:off x="1480705" y="2935433"/>
            <a:ext cx="398318" cy="0"/>
          </a:xfrm>
          <a:prstGeom prst="line">
            <a:avLst/>
          </a:prstGeom>
          <a:ln w="60325">
            <a:solidFill>
              <a:schemeClr val="accent2">
                <a:lumMod val="7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5196</xdr:colOff>
      <xdr:row>13</xdr:row>
      <xdr:rowOff>5195</xdr:rowOff>
    </xdr:from>
    <xdr:to>
      <xdr:col>20</xdr:col>
      <xdr:colOff>290945</xdr:colOff>
      <xdr:row>16</xdr:row>
      <xdr:rowOff>22513</xdr:rowOff>
    </xdr:to>
    <xdr:grpSp>
      <xdr:nvGrpSpPr>
        <xdr:cNvPr id="93" name="Group 92">
          <a:extLst>
            <a:ext uri="{FF2B5EF4-FFF2-40B4-BE49-F238E27FC236}">
              <a16:creationId xmlns:a16="http://schemas.microsoft.com/office/drawing/2014/main" id="{00000000-0008-0000-0A00-00005D000000}"/>
            </a:ext>
          </a:extLst>
        </xdr:cNvPr>
        <xdr:cNvGrpSpPr/>
      </xdr:nvGrpSpPr>
      <xdr:grpSpPr>
        <a:xfrm>
          <a:off x="4669560" y="2562513"/>
          <a:ext cx="632112" cy="571500"/>
          <a:chOff x="1480705" y="2363932"/>
          <a:chExt cx="623454" cy="588818"/>
        </a:xfrm>
      </xdr:grpSpPr>
      <xdr:pic>
        <xdr:nvPicPr>
          <xdr:cNvPr id="94" name="Picture 93" descr="Image result for pressure gauge">
            <a:extLst>
              <a:ext uri="{FF2B5EF4-FFF2-40B4-BE49-F238E27FC236}">
                <a16:creationId xmlns:a16="http://schemas.microsoft.com/office/drawing/2014/main" id="{00000000-0008-0000-0A00-00005E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2180" t="3639" r="11998" b="3578"/>
          <a:stretch/>
        </xdr:blipFill>
        <xdr:spPr bwMode="auto">
          <a:xfrm>
            <a:off x="1625023" y="2363932"/>
            <a:ext cx="479136" cy="58881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cxnSp macro="">
        <xdr:nvCxnSpPr>
          <xdr:cNvPr id="95" name="Straight Connector 94">
            <a:extLst>
              <a:ext uri="{FF2B5EF4-FFF2-40B4-BE49-F238E27FC236}">
                <a16:creationId xmlns:a16="http://schemas.microsoft.com/office/drawing/2014/main" id="{00000000-0008-0000-0A00-00005F000000}"/>
              </a:ext>
            </a:extLst>
          </xdr:cNvPr>
          <xdr:cNvCxnSpPr/>
        </xdr:nvCxnSpPr>
        <xdr:spPr>
          <a:xfrm>
            <a:off x="1480705" y="2935433"/>
            <a:ext cx="398318" cy="0"/>
          </a:xfrm>
          <a:prstGeom prst="line">
            <a:avLst/>
          </a:prstGeom>
          <a:ln w="60325">
            <a:solidFill>
              <a:schemeClr val="accent2">
                <a:lumMod val="7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27</xdr:col>
      <xdr:colOff>129886</xdr:colOff>
      <xdr:row>13</xdr:row>
      <xdr:rowOff>0</xdr:rowOff>
    </xdr:from>
    <xdr:to>
      <xdr:col>30</xdr:col>
      <xdr:colOff>285749</xdr:colOff>
      <xdr:row>16</xdr:row>
      <xdr:rowOff>17318</xdr:rowOff>
    </xdr:to>
    <xdr:grpSp>
      <xdr:nvGrpSpPr>
        <xdr:cNvPr id="96" name="Group 95">
          <a:extLst>
            <a:ext uri="{FF2B5EF4-FFF2-40B4-BE49-F238E27FC236}">
              <a16:creationId xmlns:a16="http://schemas.microsoft.com/office/drawing/2014/main" id="{00000000-0008-0000-0A00-000060000000}"/>
            </a:ext>
          </a:extLst>
        </xdr:cNvPr>
        <xdr:cNvGrpSpPr/>
      </xdr:nvGrpSpPr>
      <xdr:grpSpPr>
        <a:xfrm>
          <a:off x="7161068" y="2557318"/>
          <a:ext cx="640772" cy="571500"/>
          <a:chOff x="1480705" y="2363932"/>
          <a:chExt cx="623454" cy="588818"/>
        </a:xfrm>
      </xdr:grpSpPr>
      <xdr:pic>
        <xdr:nvPicPr>
          <xdr:cNvPr id="97" name="Picture 96" descr="Image result for pressure gauge">
            <a:extLst>
              <a:ext uri="{FF2B5EF4-FFF2-40B4-BE49-F238E27FC236}">
                <a16:creationId xmlns:a16="http://schemas.microsoft.com/office/drawing/2014/main" id="{00000000-0008-0000-0A00-000061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2180" t="3639" r="11998" b="3578"/>
          <a:stretch/>
        </xdr:blipFill>
        <xdr:spPr bwMode="auto">
          <a:xfrm>
            <a:off x="1625023" y="2363932"/>
            <a:ext cx="479136" cy="58881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cxnSp macro="">
        <xdr:nvCxnSpPr>
          <xdr:cNvPr id="98" name="Straight Connector 97">
            <a:extLst>
              <a:ext uri="{FF2B5EF4-FFF2-40B4-BE49-F238E27FC236}">
                <a16:creationId xmlns:a16="http://schemas.microsoft.com/office/drawing/2014/main" id="{00000000-0008-0000-0A00-000062000000}"/>
              </a:ext>
            </a:extLst>
          </xdr:cNvPr>
          <xdr:cNvCxnSpPr/>
        </xdr:nvCxnSpPr>
        <xdr:spPr>
          <a:xfrm>
            <a:off x="1480705" y="2935433"/>
            <a:ext cx="398318" cy="0"/>
          </a:xfrm>
          <a:prstGeom prst="line">
            <a:avLst/>
          </a:prstGeom>
          <a:ln w="60325">
            <a:solidFill>
              <a:schemeClr val="accent2">
                <a:lumMod val="7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38</xdr:col>
      <xdr:colOff>1</xdr:colOff>
      <xdr:row>12</xdr:row>
      <xdr:rowOff>181841</xdr:rowOff>
    </xdr:from>
    <xdr:to>
      <xdr:col>40</xdr:col>
      <xdr:colOff>285750</xdr:colOff>
      <xdr:row>16</xdr:row>
      <xdr:rowOff>8659</xdr:rowOff>
    </xdr:to>
    <xdr:grpSp>
      <xdr:nvGrpSpPr>
        <xdr:cNvPr id="99" name="Group 98">
          <a:extLst>
            <a:ext uri="{FF2B5EF4-FFF2-40B4-BE49-F238E27FC236}">
              <a16:creationId xmlns:a16="http://schemas.microsoft.com/office/drawing/2014/main" id="{00000000-0008-0000-0A00-000063000000}"/>
            </a:ext>
          </a:extLst>
        </xdr:cNvPr>
        <xdr:cNvGrpSpPr/>
      </xdr:nvGrpSpPr>
      <xdr:grpSpPr>
        <a:xfrm>
          <a:off x="9675092" y="2554432"/>
          <a:ext cx="632113" cy="565727"/>
          <a:chOff x="1480705" y="2363932"/>
          <a:chExt cx="623454" cy="588818"/>
        </a:xfrm>
      </xdr:grpSpPr>
      <xdr:pic>
        <xdr:nvPicPr>
          <xdr:cNvPr id="100" name="Picture 99" descr="Image result for pressure gauge">
            <a:extLst>
              <a:ext uri="{FF2B5EF4-FFF2-40B4-BE49-F238E27FC236}">
                <a16:creationId xmlns:a16="http://schemas.microsoft.com/office/drawing/2014/main" id="{00000000-0008-0000-0A00-000064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2180" t="3639" r="11998" b="3578"/>
          <a:stretch/>
        </xdr:blipFill>
        <xdr:spPr bwMode="auto">
          <a:xfrm>
            <a:off x="1625023" y="2363932"/>
            <a:ext cx="479136" cy="58881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cxnSp macro="">
        <xdr:nvCxnSpPr>
          <xdr:cNvPr id="101" name="Straight Connector 100">
            <a:extLst>
              <a:ext uri="{FF2B5EF4-FFF2-40B4-BE49-F238E27FC236}">
                <a16:creationId xmlns:a16="http://schemas.microsoft.com/office/drawing/2014/main" id="{00000000-0008-0000-0A00-000065000000}"/>
              </a:ext>
            </a:extLst>
          </xdr:cNvPr>
          <xdr:cNvCxnSpPr/>
        </xdr:nvCxnSpPr>
        <xdr:spPr>
          <a:xfrm>
            <a:off x="1480705" y="2935433"/>
            <a:ext cx="398318" cy="0"/>
          </a:xfrm>
          <a:prstGeom prst="line">
            <a:avLst/>
          </a:prstGeom>
          <a:ln w="60325">
            <a:solidFill>
              <a:schemeClr val="accent2">
                <a:lumMod val="7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45</xdr:col>
      <xdr:colOff>424296</xdr:colOff>
      <xdr:row>0</xdr:row>
      <xdr:rowOff>103910</xdr:rowOff>
    </xdr:from>
    <xdr:to>
      <xdr:col>50</xdr:col>
      <xdr:colOff>225135</xdr:colOff>
      <xdr:row>2</xdr:row>
      <xdr:rowOff>207819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pSpPr/>
      </xdr:nvGrpSpPr>
      <xdr:grpSpPr>
        <a:xfrm>
          <a:off x="11669569" y="103910"/>
          <a:ext cx="1082384" cy="577273"/>
          <a:chOff x="11724408" y="103910"/>
          <a:chExt cx="623454" cy="588818"/>
        </a:xfrm>
      </xdr:grpSpPr>
      <xdr:pic>
        <xdr:nvPicPr>
          <xdr:cNvPr id="103" name="Picture 102" descr="Image result for pressure gauge">
            <a:extLst>
              <a:ext uri="{FF2B5EF4-FFF2-40B4-BE49-F238E27FC236}">
                <a16:creationId xmlns:a16="http://schemas.microsoft.com/office/drawing/2014/main" id="{00000000-0008-0000-0A00-000067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2180" t="3639" r="11998" b="3578"/>
          <a:stretch/>
        </xdr:blipFill>
        <xdr:spPr bwMode="auto">
          <a:xfrm>
            <a:off x="11868726" y="103910"/>
            <a:ext cx="479136" cy="58881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cxnSp macro="">
        <xdr:nvCxnSpPr>
          <xdr:cNvPr id="104" name="Straight Connector 103">
            <a:extLst>
              <a:ext uri="{FF2B5EF4-FFF2-40B4-BE49-F238E27FC236}">
                <a16:creationId xmlns:a16="http://schemas.microsoft.com/office/drawing/2014/main" id="{00000000-0008-0000-0A00-000068000000}"/>
              </a:ext>
            </a:extLst>
          </xdr:cNvPr>
          <xdr:cNvCxnSpPr/>
        </xdr:nvCxnSpPr>
        <xdr:spPr>
          <a:xfrm>
            <a:off x="11317432" y="675411"/>
            <a:ext cx="805294" cy="0"/>
          </a:xfrm>
          <a:prstGeom prst="line">
            <a:avLst/>
          </a:prstGeom>
          <a:ln w="60325">
            <a:solidFill>
              <a:schemeClr val="accent2">
                <a:lumMod val="7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68</xdr:col>
      <xdr:colOff>0</xdr:colOff>
      <xdr:row>13</xdr:row>
      <xdr:rowOff>8659</xdr:rowOff>
    </xdr:from>
    <xdr:to>
      <xdr:col>70</xdr:col>
      <xdr:colOff>285749</xdr:colOff>
      <xdr:row>16</xdr:row>
      <xdr:rowOff>25977</xdr:rowOff>
    </xdr:to>
    <xdr:grpSp>
      <xdr:nvGrpSpPr>
        <xdr:cNvPr id="105" name="Group 104">
          <a:extLst>
            <a:ext uri="{FF2B5EF4-FFF2-40B4-BE49-F238E27FC236}">
              <a16:creationId xmlns:a16="http://schemas.microsoft.com/office/drawing/2014/main" id="{00000000-0008-0000-0A00-000069000000}"/>
            </a:ext>
          </a:extLst>
        </xdr:cNvPr>
        <xdr:cNvGrpSpPr/>
      </xdr:nvGrpSpPr>
      <xdr:grpSpPr>
        <a:xfrm>
          <a:off x="17191182" y="2565977"/>
          <a:ext cx="632112" cy="571500"/>
          <a:chOff x="1480705" y="2363932"/>
          <a:chExt cx="623454" cy="588818"/>
        </a:xfrm>
      </xdr:grpSpPr>
      <xdr:pic>
        <xdr:nvPicPr>
          <xdr:cNvPr id="106" name="Picture 105" descr="Image result for pressure gauge">
            <a:extLst>
              <a:ext uri="{FF2B5EF4-FFF2-40B4-BE49-F238E27FC236}">
                <a16:creationId xmlns:a16="http://schemas.microsoft.com/office/drawing/2014/main" id="{00000000-0008-0000-0A00-00006A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2180" t="3639" r="11998" b="3578"/>
          <a:stretch/>
        </xdr:blipFill>
        <xdr:spPr bwMode="auto">
          <a:xfrm>
            <a:off x="1625023" y="2363932"/>
            <a:ext cx="479136" cy="58881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cxnSp macro="">
        <xdr:nvCxnSpPr>
          <xdr:cNvPr id="107" name="Straight Connector 106">
            <a:extLst>
              <a:ext uri="{FF2B5EF4-FFF2-40B4-BE49-F238E27FC236}">
                <a16:creationId xmlns:a16="http://schemas.microsoft.com/office/drawing/2014/main" id="{00000000-0008-0000-0A00-00006B000000}"/>
              </a:ext>
            </a:extLst>
          </xdr:cNvPr>
          <xdr:cNvCxnSpPr/>
        </xdr:nvCxnSpPr>
        <xdr:spPr>
          <a:xfrm>
            <a:off x="1480705" y="2935433"/>
            <a:ext cx="398318" cy="0"/>
          </a:xfrm>
          <a:prstGeom prst="line">
            <a:avLst/>
          </a:prstGeom>
          <a:ln w="60325">
            <a:solidFill>
              <a:schemeClr val="accent2">
                <a:lumMod val="7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oneCellAnchor>
    <xdr:from>
      <xdr:col>51</xdr:col>
      <xdr:colOff>219075</xdr:colOff>
      <xdr:row>3</xdr:row>
      <xdr:rowOff>57150</xdr:rowOff>
    </xdr:from>
    <xdr:ext cx="1913659" cy="1847850"/>
    <xdr:pic>
      <xdr:nvPicPr>
        <xdr:cNvPr id="108" name="Picture 107">
          <a:extLst>
            <a:ext uri="{FF2B5EF4-FFF2-40B4-BE49-F238E27FC236}">
              <a16:creationId xmlns:a16="http://schemas.microsoft.com/office/drawing/2014/main" id="{00000000-0008-0000-0A00-00006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470" r="9117" b="7165"/>
        <a:stretch/>
      </xdr:blipFill>
      <xdr:spPr>
        <a:xfrm>
          <a:off x="18403166" y="732559"/>
          <a:ext cx="1913659" cy="1847850"/>
        </a:xfrm>
        <a:prstGeom prst="rect">
          <a:avLst/>
        </a:prstGeom>
      </xdr:spPr>
    </xdr:pic>
    <xdr:clientData/>
  </xdr:oneCellAnchor>
  <xdr:twoCellAnchor>
    <xdr:from>
      <xdr:col>55</xdr:col>
      <xdr:colOff>209551</xdr:colOff>
      <xdr:row>2</xdr:row>
      <xdr:rowOff>65485</xdr:rowOff>
    </xdr:from>
    <xdr:to>
      <xdr:col>55</xdr:col>
      <xdr:colOff>419100</xdr:colOff>
      <xdr:row>33</xdr:row>
      <xdr:rowOff>173182</xdr:rowOff>
    </xdr:to>
    <xdr:sp macro="" textlink="">
      <xdr:nvSpPr>
        <xdr:cNvPr id="109" name="Rectangle 108">
          <a:extLst>
            <a:ext uri="{FF2B5EF4-FFF2-40B4-BE49-F238E27FC236}">
              <a16:creationId xmlns:a16="http://schemas.microsoft.com/office/drawing/2014/main" id="{00000000-0008-0000-0A00-00006D000000}"/>
            </a:ext>
          </a:extLst>
        </xdr:cNvPr>
        <xdr:cNvSpPr/>
      </xdr:nvSpPr>
      <xdr:spPr>
        <a:xfrm>
          <a:off x="18982460" y="550394"/>
          <a:ext cx="209549" cy="6030515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56</xdr:col>
      <xdr:colOff>6927</xdr:colOff>
      <xdr:row>34</xdr:row>
      <xdr:rowOff>0</xdr:rowOff>
    </xdr:from>
    <xdr:to>
      <xdr:col>57</xdr:col>
      <xdr:colOff>117529</xdr:colOff>
      <xdr:row>35</xdr:row>
      <xdr:rowOff>185024</xdr:rowOff>
    </xdr:to>
    <xdr:grpSp>
      <xdr:nvGrpSpPr>
        <xdr:cNvPr id="110" name="Group 109">
          <a:extLst>
            <a:ext uri="{FF2B5EF4-FFF2-40B4-BE49-F238E27FC236}">
              <a16:creationId xmlns:a16="http://schemas.microsoft.com/office/drawing/2014/main" id="{00000000-0008-0000-0A00-00006E000000}"/>
            </a:ext>
          </a:extLst>
        </xdr:cNvPr>
        <xdr:cNvGrpSpPr/>
      </xdr:nvGrpSpPr>
      <xdr:grpSpPr>
        <a:xfrm flipH="1">
          <a:off x="14415654" y="6448136"/>
          <a:ext cx="249148" cy="369752"/>
          <a:chOff x="2332671" y="6377940"/>
          <a:chExt cx="228366" cy="375524"/>
        </a:xfrm>
      </xdr:grpSpPr>
      <xdr:grpSp>
        <xdr:nvGrpSpPr>
          <xdr:cNvPr id="111" name="Group 110">
            <a:extLst>
              <a:ext uri="{FF2B5EF4-FFF2-40B4-BE49-F238E27FC236}">
                <a16:creationId xmlns:a16="http://schemas.microsoft.com/office/drawing/2014/main" id="{00000000-0008-0000-0A00-00006F000000}"/>
              </a:ext>
            </a:extLst>
          </xdr:cNvPr>
          <xdr:cNvGrpSpPr/>
        </xdr:nvGrpSpPr>
        <xdr:grpSpPr>
          <a:xfrm>
            <a:off x="2336244" y="6377940"/>
            <a:ext cx="224793" cy="219551"/>
            <a:chOff x="2333862" y="6389847"/>
            <a:chExt cx="224793" cy="219551"/>
          </a:xfrm>
        </xdr:grpSpPr>
        <xdr:sp macro="" textlink="">
          <xdr:nvSpPr>
            <xdr:cNvPr id="116" name="Isosceles Triangle 115">
              <a:extLst>
                <a:ext uri="{FF2B5EF4-FFF2-40B4-BE49-F238E27FC236}">
                  <a16:creationId xmlns:a16="http://schemas.microsoft.com/office/drawing/2014/main" id="{00000000-0008-0000-0A00-000074000000}"/>
                </a:ext>
              </a:extLst>
            </xdr:cNvPr>
            <xdr:cNvSpPr/>
          </xdr:nvSpPr>
          <xdr:spPr>
            <a:xfrm rot="16200000">
              <a:off x="2418042" y="6302096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17" name="Isosceles Triangle 116">
              <a:extLst>
                <a:ext uri="{FF2B5EF4-FFF2-40B4-BE49-F238E27FC236}">
                  <a16:creationId xmlns:a16="http://schemas.microsoft.com/office/drawing/2014/main" id="{00000000-0008-0000-0A00-000075000000}"/>
                </a:ext>
              </a:extLst>
            </xdr:cNvPr>
            <xdr:cNvSpPr/>
          </xdr:nvSpPr>
          <xdr:spPr>
            <a:xfrm rot="16200000">
              <a:off x="2421614" y="6359247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18" name="Isosceles Triangle 117">
              <a:extLst>
                <a:ext uri="{FF2B5EF4-FFF2-40B4-BE49-F238E27FC236}">
                  <a16:creationId xmlns:a16="http://schemas.microsoft.com/office/drawing/2014/main" id="{00000000-0008-0000-0A00-000076000000}"/>
                </a:ext>
              </a:extLst>
            </xdr:cNvPr>
            <xdr:cNvSpPr/>
          </xdr:nvSpPr>
          <xdr:spPr>
            <a:xfrm rot="16200000">
              <a:off x="2421613" y="6418777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19" name="Isosceles Triangle 118">
              <a:extLst>
                <a:ext uri="{FF2B5EF4-FFF2-40B4-BE49-F238E27FC236}">
                  <a16:creationId xmlns:a16="http://schemas.microsoft.com/office/drawing/2014/main" id="{00000000-0008-0000-0A00-000077000000}"/>
                </a:ext>
              </a:extLst>
            </xdr:cNvPr>
            <xdr:cNvSpPr/>
          </xdr:nvSpPr>
          <xdr:spPr>
            <a:xfrm rot="16200000">
              <a:off x="2419232" y="6475928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112" name="Group 111">
            <a:extLst>
              <a:ext uri="{FF2B5EF4-FFF2-40B4-BE49-F238E27FC236}">
                <a16:creationId xmlns:a16="http://schemas.microsoft.com/office/drawing/2014/main" id="{00000000-0008-0000-0A00-000070000000}"/>
              </a:ext>
            </a:extLst>
          </xdr:cNvPr>
          <xdr:cNvGrpSpPr/>
        </xdr:nvGrpSpPr>
        <xdr:grpSpPr>
          <a:xfrm>
            <a:off x="2332671" y="6600589"/>
            <a:ext cx="223603" cy="152875"/>
            <a:chOff x="2332671" y="6600589"/>
            <a:chExt cx="223603" cy="152875"/>
          </a:xfrm>
        </xdr:grpSpPr>
        <xdr:sp macro="" textlink="">
          <xdr:nvSpPr>
            <xdr:cNvPr id="113" name="Isosceles Triangle 112">
              <a:extLst>
                <a:ext uri="{FF2B5EF4-FFF2-40B4-BE49-F238E27FC236}">
                  <a16:creationId xmlns:a16="http://schemas.microsoft.com/office/drawing/2014/main" id="{00000000-0008-0000-0A00-000071000000}"/>
                </a:ext>
              </a:extLst>
            </xdr:cNvPr>
            <xdr:cNvSpPr/>
          </xdr:nvSpPr>
          <xdr:spPr>
            <a:xfrm rot="16200000">
              <a:off x="2422804" y="6568797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14" name="Isosceles Triangle 113">
              <a:extLst>
                <a:ext uri="{FF2B5EF4-FFF2-40B4-BE49-F238E27FC236}">
                  <a16:creationId xmlns:a16="http://schemas.microsoft.com/office/drawing/2014/main" id="{00000000-0008-0000-0A00-000072000000}"/>
                </a:ext>
              </a:extLst>
            </xdr:cNvPr>
            <xdr:cNvSpPr/>
          </xdr:nvSpPr>
          <xdr:spPr>
            <a:xfrm rot="16200000">
              <a:off x="2420423" y="6619994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15" name="Isosceles Triangle 114">
              <a:extLst>
                <a:ext uri="{FF2B5EF4-FFF2-40B4-BE49-F238E27FC236}">
                  <a16:creationId xmlns:a16="http://schemas.microsoft.com/office/drawing/2014/main" id="{00000000-0008-0000-0A00-000073000000}"/>
                </a:ext>
              </a:extLst>
            </xdr:cNvPr>
            <xdr:cNvSpPr/>
          </xdr:nvSpPr>
          <xdr:spPr>
            <a:xfrm rot="16200000">
              <a:off x="2420422" y="6512838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</xdr:grpSp>
    <xdr:clientData/>
  </xdr:twoCellAnchor>
  <xdr:twoCellAnchor>
    <xdr:from>
      <xdr:col>53</xdr:col>
      <xdr:colOff>8660</xdr:colOff>
      <xdr:row>34</xdr:row>
      <xdr:rowOff>8659</xdr:rowOff>
    </xdr:from>
    <xdr:to>
      <xdr:col>55</xdr:col>
      <xdr:colOff>4962</xdr:colOff>
      <xdr:row>36</xdr:row>
      <xdr:rowOff>3183</xdr:rowOff>
    </xdr:to>
    <xdr:grpSp>
      <xdr:nvGrpSpPr>
        <xdr:cNvPr id="120" name="Group 119">
          <a:extLst>
            <a:ext uri="{FF2B5EF4-FFF2-40B4-BE49-F238E27FC236}">
              <a16:creationId xmlns:a16="http://schemas.microsoft.com/office/drawing/2014/main" id="{00000000-0008-0000-0A00-000078000000}"/>
            </a:ext>
          </a:extLst>
        </xdr:cNvPr>
        <xdr:cNvGrpSpPr/>
      </xdr:nvGrpSpPr>
      <xdr:grpSpPr>
        <a:xfrm>
          <a:off x="13493751" y="6456795"/>
          <a:ext cx="261847" cy="363979"/>
          <a:chOff x="2332671" y="6377940"/>
          <a:chExt cx="228366" cy="375524"/>
        </a:xfrm>
      </xdr:grpSpPr>
      <xdr:grpSp>
        <xdr:nvGrpSpPr>
          <xdr:cNvPr id="121" name="Group 120">
            <a:extLst>
              <a:ext uri="{FF2B5EF4-FFF2-40B4-BE49-F238E27FC236}">
                <a16:creationId xmlns:a16="http://schemas.microsoft.com/office/drawing/2014/main" id="{00000000-0008-0000-0A00-000079000000}"/>
              </a:ext>
            </a:extLst>
          </xdr:cNvPr>
          <xdr:cNvGrpSpPr/>
        </xdr:nvGrpSpPr>
        <xdr:grpSpPr>
          <a:xfrm>
            <a:off x="2336244" y="6377940"/>
            <a:ext cx="224793" cy="219551"/>
            <a:chOff x="2333862" y="6389847"/>
            <a:chExt cx="224793" cy="219551"/>
          </a:xfrm>
        </xdr:grpSpPr>
        <xdr:sp macro="" textlink="">
          <xdr:nvSpPr>
            <xdr:cNvPr id="126" name="Isosceles Triangle 125">
              <a:extLst>
                <a:ext uri="{FF2B5EF4-FFF2-40B4-BE49-F238E27FC236}">
                  <a16:creationId xmlns:a16="http://schemas.microsoft.com/office/drawing/2014/main" id="{00000000-0008-0000-0A00-00007E000000}"/>
                </a:ext>
              </a:extLst>
            </xdr:cNvPr>
            <xdr:cNvSpPr/>
          </xdr:nvSpPr>
          <xdr:spPr>
            <a:xfrm rot="16200000">
              <a:off x="2418042" y="6302096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27" name="Isosceles Triangle 126">
              <a:extLst>
                <a:ext uri="{FF2B5EF4-FFF2-40B4-BE49-F238E27FC236}">
                  <a16:creationId xmlns:a16="http://schemas.microsoft.com/office/drawing/2014/main" id="{00000000-0008-0000-0A00-00007F000000}"/>
                </a:ext>
              </a:extLst>
            </xdr:cNvPr>
            <xdr:cNvSpPr/>
          </xdr:nvSpPr>
          <xdr:spPr>
            <a:xfrm rot="16200000">
              <a:off x="2421614" y="6359247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28" name="Isosceles Triangle 127">
              <a:extLst>
                <a:ext uri="{FF2B5EF4-FFF2-40B4-BE49-F238E27FC236}">
                  <a16:creationId xmlns:a16="http://schemas.microsoft.com/office/drawing/2014/main" id="{00000000-0008-0000-0A00-000080000000}"/>
                </a:ext>
              </a:extLst>
            </xdr:cNvPr>
            <xdr:cNvSpPr/>
          </xdr:nvSpPr>
          <xdr:spPr>
            <a:xfrm rot="16200000">
              <a:off x="2421613" y="6418777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29" name="Isosceles Triangle 128">
              <a:extLst>
                <a:ext uri="{FF2B5EF4-FFF2-40B4-BE49-F238E27FC236}">
                  <a16:creationId xmlns:a16="http://schemas.microsoft.com/office/drawing/2014/main" id="{00000000-0008-0000-0A00-000081000000}"/>
                </a:ext>
              </a:extLst>
            </xdr:cNvPr>
            <xdr:cNvSpPr/>
          </xdr:nvSpPr>
          <xdr:spPr>
            <a:xfrm rot="16200000">
              <a:off x="2419232" y="6475928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122" name="Group 121">
            <a:extLst>
              <a:ext uri="{FF2B5EF4-FFF2-40B4-BE49-F238E27FC236}">
                <a16:creationId xmlns:a16="http://schemas.microsoft.com/office/drawing/2014/main" id="{00000000-0008-0000-0A00-00007A000000}"/>
              </a:ext>
            </a:extLst>
          </xdr:cNvPr>
          <xdr:cNvGrpSpPr/>
        </xdr:nvGrpSpPr>
        <xdr:grpSpPr>
          <a:xfrm>
            <a:off x="2332671" y="6600589"/>
            <a:ext cx="223603" cy="152875"/>
            <a:chOff x="2332671" y="6600589"/>
            <a:chExt cx="223603" cy="152875"/>
          </a:xfrm>
        </xdr:grpSpPr>
        <xdr:sp macro="" textlink="">
          <xdr:nvSpPr>
            <xdr:cNvPr id="123" name="Isosceles Triangle 122">
              <a:extLst>
                <a:ext uri="{FF2B5EF4-FFF2-40B4-BE49-F238E27FC236}">
                  <a16:creationId xmlns:a16="http://schemas.microsoft.com/office/drawing/2014/main" id="{00000000-0008-0000-0A00-00007B000000}"/>
                </a:ext>
              </a:extLst>
            </xdr:cNvPr>
            <xdr:cNvSpPr/>
          </xdr:nvSpPr>
          <xdr:spPr>
            <a:xfrm rot="16200000">
              <a:off x="2422804" y="6568797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24" name="Isosceles Triangle 123">
              <a:extLst>
                <a:ext uri="{FF2B5EF4-FFF2-40B4-BE49-F238E27FC236}">
                  <a16:creationId xmlns:a16="http://schemas.microsoft.com/office/drawing/2014/main" id="{00000000-0008-0000-0A00-00007C000000}"/>
                </a:ext>
              </a:extLst>
            </xdr:cNvPr>
            <xdr:cNvSpPr/>
          </xdr:nvSpPr>
          <xdr:spPr>
            <a:xfrm rot="16200000">
              <a:off x="2420423" y="6619994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25" name="Isosceles Triangle 124">
              <a:extLst>
                <a:ext uri="{FF2B5EF4-FFF2-40B4-BE49-F238E27FC236}">
                  <a16:creationId xmlns:a16="http://schemas.microsoft.com/office/drawing/2014/main" id="{00000000-0008-0000-0A00-00007D000000}"/>
                </a:ext>
              </a:extLst>
            </xdr:cNvPr>
            <xdr:cNvSpPr/>
          </xdr:nvSpPr>
          <xdr:spPr>
            <a:xfrm rot="16200000">
              <a:off x="2420422" y="6512838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</xdr:grpSp>
    <xdr:clientData/>
  </xdr:twoCellAnchor>
  <xdr:twoCellAnchor>
    <xdr:from>
      <xdr:col>58</xdr:col>
      <xdr:colOff>0</xdr:colOff>
      <xdr:row>13</xdr:row>
      <xdr:rowOff>8659</xdr:rowOff>
    </xdr:from>
    <xdr:to>
      <xdr:col>60</xdr:col>
      <xdr:colOff>285749</xdr:colOff>
      <xdr:row>16</xdr:row>
      <xdr:rowOff>25977</xdr:rowOff>
    </xdr:to>
    <xdr:grpSp>
      <xdr:nvGrpSpPr>
        <xdr:cNvPr id="131" name="Group 130">
          <a:extLst>
            <a:ext uri="{FF2B5EF4-FFF2-40B4-BE49-F238E27FC236}">
              <a16:creationId xmlns:a16="http://schemas.microsoft.com/office/drawing/2014/main" id="{00000000-0008-0000-0A00-000083000000}"/>
            </a:ext>
          </a:extLst>
        </xdr:cNvPr>
        <xdr:cNvGrpSpPr/>
      </xdr:nvGrpSpPr>
      <xdr:grpSpPr>
        <a:xfrm>
          <a:off x="14685818" y="2565977"/>
          <a:ext cx="632113" cy="571500"/>
          <a:chOff x="1480705" y="2363932"/>
          <a:chExt cx="623454" cy="588818"/>
        </a:xfrm>
      </xdr:grpSpPr>
      <xdr:pic>
        <xdr:nvPicPr>
          <xdr:cNvPr id="132" name="Picture 131" descr="Image result for pressure gauge">
            <a:extLst>
              <a:ext uri="{FF2B5EF4-FFF2-40B4-BE49-F238E27FC236}">
                <a16:creationId xmlns:a16="http://schemas.microsoft.com/office/drawing/2014/main" id="{00000000-0008-0000-0A00-000084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2180" t="3639" r="11998" b="3578"/>
          <a:stretch/>
        </xdr:blipFill>
        <xdr:spPr bwMode="auto">
          <a:xfrm>
            <a:off x="1625023" y="2363932"/>
            <a:ext cx="479136" cy="58881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cxnSp macro="">
        <xdr:nvCxnSpPr>
          <xdr:cNvPr id="133" name="Straight Connector 132">
            <a:extLst>
              <a:ext uri="{FF2B5EF4-FFF2-40B4-BE49-F238E27FC236}">
                <a16:creationId xmlns:a16="http://schemas.microsoft.com/office/drawing/2014/main" id="{00000000-0008-0000-0A00-000085000000}"/>
              </a:ext>
            </a:extLst>
          </xdr:cNvPr>
          <xdr:cNvCxnSpPr/>
        </xdr:nvCxnSpPr>
        <xdr:spPr>
          <a:xfrm>
            <a:off x="1480705" y="2935433"/>
            <a:ext cx="398318" cy="0"/>
          </a:xfrm>
          <a:prstGeom prst="line">
            <a:avLst/>
          </a:prstGeom>
          <a:ln w="60325">
            <a:solidFill>
              <a:schemeClr val="accent2">
                <a:lumMod val="7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oneCellAnchor>
    <xdr:from>
      <xdr:col>78</xdr:col>
      <xdr:colOff>219075</xdr:colOff>
      <xdr:row>3</xdr:row>
      <xdr:rowOff>57150</xdr:rowOff>
    </xdr:from>
    <xdr:ext cx="1913659" cy="1847850"/>
    <xdr:pic>
      <xdr:nvPicPr>
        <xdr:cNvPr id="134" name="Picture 133">
          <a:extLst>
            <a:ext uri="{FF2B5EF4-FFF2-40B4-BE49-F238E27FC236}">
              <a16:creationId xmlns:a16="http://schemas.microsoft.com/office/drawing/2014/main" id="{00000000-0008-0000-0A00-00008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470" r="9117" b="7165"/>
        <a:stretch/>
      </xdr:blipFill>
      <xdr:spPr>
        <a:xfrm>
          <a:off x="2643620" y="732559"/>
          <a:ext cx="1913659" cy="1847850"/>
        </a:xfrm>
        <a:prstGeom prst="rect">
          <a:avLst/>
        </a:prstGeom>
      </xdr:spPr>
    </xdr:pic>
    <xdr:clientData/>
  </xdr:oneCellAnchor>
  <xdr:oneCellAnchor>
    <xdr:from>
      <xdr:col>82</xdr:col>
      <xdr:colOff>28575</xdr:colOff>
      <xdr:row>34</xdr:row>
      <xdr:rowOff>171448</xdr:rowOff>
    </xdr:from>
    <xdr:ext cx="571499" cy="752471"/>
    <xdr:pic>
      <xdr:nvPicPr>
        <xdr:cNvPr id="135" name="Picture 134" descr="Image result for drilling bit">
          <a:extLst>
            <a:ext uri="{FF2B5EF4-FFF2-40B4-BE49-F238E27FC236}">
              <a16:creationId xmlns:a16="http://schemas.microsoft.com/office/drawing/2014/main" id="{00000000-0008-0000-0A00-00008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00" r="10800" b="3733"/>
        <a:stretch/>
      </xdr:blipFill>
      <xdr:spPr bwMode="auto">
        <a:xfrm flipV="1">
          <a:off x="3041939" y="6769675"/>
          <a:ext cx="571499" cy="752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82</xdr:col>
      <xdr:colOff>152401</xdr:colOff>
      <xdr:row>32</xdr:row>
      <xdr:rowOff>19049</xdr:rowOff>
    </xdr:from>
    <xdr:to>
      <xdr:col>82</xdr:col>
      <xdr:colOff>466725</xdr:colOff>
      <xdr:row>35</xdr:row>
      <xdr:rowOff>160734</xdr:rowOff>
    </xdr:to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00000000-0008-0000-0A00-000088000000}"/>
            </a:ext>
          </a:extLst>
        </xdr:cNvPr>
        <xdr:cNvSpPr/>
      </xdr:nvSpPr>
      <xdr:spPr>
        <a:xfrm>
          <a:off x="3165765" y="6236276"/>
          <a:ext cx="314324" cy="713185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82</xdr:col>
      <xdr:colOff>209551</xdr:colOff>
      <xdr:row>2</xdr:row>
      <xdr:rowOff>65485</xdr:rowOff>
    </xdr:from>
    <xdr:to>
      <xdr:col>82</xdr:col>
      <xdr:colOff>419100</xdr:colOff>
      <xdr:row>32</xdr:row>
      <xdr:rowOff>14288</xdr:rowOff>
    </xdr:to>
    <xdr:sp macro="" textlink="">
      <xdr:nvSpPr>
        <xdr:cNvPr id="137" name="Rectangle 136">
          <a:extLst>
            <a:ext uri="{FF2B5EF4-FFF2-40B4-BE49-F238E27FC236}">
              <a16:creationId xmlns:a16="http://schemas.microsoft.com/office/drawing/2014/main" id="{00000000-0008-0000-0A00-000089000000}"/>
            </a:ext>
          </a:extLst>
        </xdr:cNvPr>
        <xdr:cNvSpPr/>
      </xdr:nvSpPr>
      <xdr:spPr>
        <a:xfrm>
          <a:off x="3222915" y="550394"/>
          <a:ext cx="209549" cy="5681121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85</xdr:col>
      <xdr:colOff>5196</xdr:colOff>
      <xdr:row>13</xdr:row>
      <xdr:rowOff>5195</xdr:rowOff>
    </xdr:from>
    <xdr:to>
      <xdr:col>87</xdr:col>
      <xdr:colOff>290945</xdr:colOff>
      <xdr:row>16</xdr:row>
      <xdr:rowOff>22513</xdr:rowOff>
    </xdr:to>
    <xdr:grpSp>
      <xdr:nvGrpSpPr>
        <xdr:cNvPr id="138" name="Group 137">
          <a:extLst>
            <a:ext uri="{FF2B5EF4-FFF2-40B4-BE49-F238E27FC236}">
              <a16:creationId xmlns:a16="http://schemas.microsoft.com/office/drawing/2014/main" id="{00000000-0008-0000-0A00-00008A000000}"/>
            </a:ext>
          </a:extLst>
        </xdr:cNvPr>
        <xdr:cNvGrpSpPr/>
      </xdr:nvGrpSpPr>
      <xdr:grpSpPr>
        <a:xfrm>
          <a:off x="23985105" y="2562513"/>
          <a:ext cx="632113" cy="571500"/>
          <a:chOff x="1480705" y="2363932"/>
          <a:chExt cx="623454" cy="588818"/>
        </a:xfrm>
      </xdr:grpSpPr>
      <xdr:pic>
        <xdr:nvPicPr>
          <xdr:cNvPr id="139" name="Picture 138" descr="Image result for pressure gauge">
            <a:extLst>
              <a:ext uri="{FF2B5EF4-FFF2-40B4-BE49-F238E27FC236}">
                <a16:creationId xmlns:a16="http://schemas.microsoft.com/office/drawing/2014/main" id="{00000000-0008-0000-0A00-00008B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2180" t="3639" r="11998" b="3578"/>
          <a:stretch/>
        </xdr:blipFill>
        <xdr:spPr bwMode="auto">
          <a:xfrm>
            <a:off x="1625023" y="2363932"/>
            <a:ext cx="479136" cy="58881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cxnSp macro="">
        <xdr:nvCxnSpPr>
          <xdr:cNvPr id="140" name="Straight Connector 139">
            <a:extLst>
              <a:ext uri="{FF2B5EF4-FFF2-40B4-BE49-F238E27FC236}">
                <a16:creationId xmlns:a16="http://schemas.microsoft.com/office/drawing/2014/main" id="{00000000-0008-0000-0A00-00008C000000}"/>
              </a:ext>
            </a:extLst>
          </xdr:cNvPr>
          <xdr:cNvCxnSpPr/>
        </xdr:nvCxnSpPr>
        <xdr:spPr>
          <a:xfrm>
            <a:off x="1480705" y="2935433"/>
            <a:ext cx="398318" cy="0"/>
          </a:xfrm>
          <a:prstGeom prst="line">
            <a:avLst/>
          </a:prstGeom>
          <a:ln w="60325">
            <a:solidFill>
              <a:schemeClr val="accent2">
                <a:lumMod val="7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oneCellAnchor>
    <xdr:from>
      <xdr:col>88</xdr:col>
      <xdr:colOff>219075</xdr:colOff>
      <xdr:row>3</xdr:row>
      <xdr:rowOff>57150</xdr:rowOff>
    </xdr:from>
    <xdr:ext cx="1913659" cy="1847850"/>
    <xdr:pic>
      <xdr:nvPicPr>
        <xdr:cNvPr id="141" name="Picture 140">
          <a:extLst>
            <a:ext uri="{FF2B5EF4-FFF2-40B4-BE49-F238E27FC236}">
              <a16:creationId xmlns:a16="http://schemas.microsoft.com/office/drawing/2014/main" id="{00000000-0008-0000-0A00-00008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470" r="9117" b="7165"/>
        <a:stretch/>
      </xdr:blipFill>
      <xdr:spPr>
        <a:xfrm>
          <a:off x="2643620" y="732559"/>
          <a:ext cx="1913659" cy="1847850"/>
        </a:xfrm>
        <a:prstGeom prst="rect">
          <a:avLst/>
        </a:prstGeom>
      </xdr:spPr>
    </xdr:pic>
    <xdr:clientData/>
  </xdr:oneCellAnchor>
  <xdr:oneCellAnchor>
    <xdr:from>
      <xdr:col>92</xdr:col>
      <xdr:colOff>28575</xdr:colOff>
      <xdr:row>34</xdr:row>
      <xdr:rowOff>171448</xdr:rowOff>
    </xdr:from>
    <xdr:ext cx="571499" cy="752471"/>
    <xdr:pic>
      <xdr:nvPicPr>
        <xdr:cNvPr id="142" name="Picture 141" descr="Image result for drilling bit">
          <a:extLst>
            <a:ext uri="{FF2B5EF4-FFF2-40B4-BE49-F238E27FC236}">
              <a16:creationId xmlns:a16="http://schemas.microsoft.com/office/drawing/2014/main" id="{00000000-0008-0000-0A00-00008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00" r="10800" b="3733"/>
        <a:stretch/>
      </xdr:blipFill>
      <xdr:spPr bwMode="auto">
        <a:xfrm flipV="1">
          <a:off x="3041939" y="6769675"/>
          <a:ext cx="571499" cy="752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92</xdr:col>
      <xdr:colOff>152401</xdr:colOff>
      <xdr:row>32</xdr:row>
      <xdr:rowOff>19049</xdr:rowOff>
    </xdr:from>
    <xdr:to>
      <xdr:col>92</xdr:col>
      <xdr:colOff>466725</xdr:colOff>
      <xdr:row>35</xdr:row>
      <xdr:rowOff>160734</xdr:rowOff>
    </xdr:to>
    <xdr:sp macro="" textlink="">
      <xdr:nvSpPr>
        <xdr:cNvPr id="143" name="Rectangle 142">
          <a:extLst>
            <a:ext uri="{FF2B5EF4-FFF2-40B4-BE49-F238E27FC236}">
              <a16:creationId xmlns:a16="http://schemas.microsoft.com/office/drawing/2014/main" id="{00000000-0008-0000-0A00-00008F000000}"/>
            </a:ext>
          </a:extLst>
        </xdr:cNvPr>
        <xdr:cNvSpPr/>
      </xdr:nvSpPr>
      <xdr:spPr>
        <a:xfrm>
          <a:off x="3165765" y="6236276"/>
          <a:ext cx="314324" cy="713185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92</xdr:col>
      <xdr:colOff>209551</xdr:colOff>
      <xdr:row>2</xdr:row>
      <xdr:rowOff>65485</xdr:rowOff>
    </xdr:from>
    <xdr:to>
      <xdr:col>92</xdr:col>
      <xdr:colOff>419100</xdr:colOff>
      <xdr:row>32</xdr:row>
      <xdr:rowOff>14288</xdr:rowOff>
    </xdr:to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00000000-0008-0000-0A00-000090000000}"/>
            </a:ext>
          </a:extLst>
        </xdr:cNvPr>
        <xdr:cNvSpPr/>
      </xdr:nvSpPr>
      <xdr:spPr>
        <a:xfrm>
          <a:off x="3222915" y="550394"/>
          <a:ext cx="209549" cy="5681121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95</xdr:col>
      <xdr:colOff>5196</xdr:colOff>
      <xdr:row>13</xdr:row>
      <xdr:rowOff>5195</xdr:rowOff>
    </xdr:from>
    <xdr:to>
      <xdr:col>97</xdr:col>
      <xdr:colOff>290945</xdr:colOff>
      <xdr:row>16</xdr:row>
      <xdr:rowOff>22513</xdr:rowOff>
    </xdr:to>
    <xdr:grpSp>
      <xdr:nvGrpSpPr>
        <xdr:cNvPr id="145" name="Group 144">
          <a:extLst>
            <a:ext uri="{FF2B5EF4-FFF2-40B4-BE49-F238E27FC236}">
              <a16:creationId xmlns:a16="http://schemas.microsoft.com/office/drawing/2014/main" id="{00000000-0008-0000-0A00-000091000000}"/>
            </a:ext>
          </a:extLst>
        </xdr:cNvPr>
        <xdr:cNvGrpSpPr/>
      </xdr:nvGrpSpPr>
      <xdr:grpSpPr>
        <a:xfrm>
          <a:off x="26490469" y="2562513"/>
          <a:ext cx="632112" cy="571500"/>
          <a:chOff x="1480705" y="2363932"/>
          <a:chExt cx="623454" cy="588818"/>
        </a:xfrm>
      </xdr:grpSpPr>
      <xdr:pic>
        <xdr:nvPicPr>
          <xdr:cNvPr id="146" name="Picture 145" descr="Image result for pressure gauge">
            <a:extLst>
              <a:ext uri="{FF2B5EF4-FFF2-40B4-BE49-F238E27FC236}">
                <a16:creationId xmlns:a16="http://schemas.microsoft.com/office/drawing/2014/main" id="{00000000-0008-0000-0A00-000092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2180" t="3639" r="11998" b="3578"/>
          <a:stretch/>
        </xdr:blipFill>
        <xdr:spPr bwMode="auto">
          <a:xfrm>
            <a:off x="1625023" y="2363932"/>
            <a:ext cx="479136" cy="58881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cxnSp macro="">
        <xdr:nvCxnSpPr>
          <xdr:cNvPr id="147" name="Straight Connector 146">
            <a:extLst>
              <a:ext uri="{FF2B5EF4-FFF2-40B4-BE49-F238E27FC236}">
                <a16:creationId xmlns:a16="http://schemas.microsoft.com/office/drawing/2014/main" id="{00000000-0008-0000-0A00-000093000000}"/>
              </a:ext>
            </a:extLst>
          </xdr:cNvPr>
          <xdr:cNvCxnSpPr/>
        </xdr:nvCxnSpPr>
        <xdr:spPr>
          <a:xfrm>
            <a:off x="1480705" y="2935433"/>
            <a:ext cx="398318" cy="0"/>
          </a:xfrm>
          <a:prstGeom prst="line">
            <a:avLst/>
          </a:prstGeom>
          <a:ln w="60325">
            <a:solidFill>
              <a:schemeClr val="accent2">
                <a:lumMod val="7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49</xdr:col>
      <xdr:colOff>219075</xdr:colOff>
      <xdr:row>3</xdr:row>
      <xdr:rowOff>57150</xdr:rowOff>
    </xdr:from>
    <xdr:to>
      <xdr:col>58</xdr:col>
      <xdr:colOff>314324</xdr:colOff>
      <xdr:row>13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470" r="9117" b="7165"/>
        <a:stretch/>
      </xdr:blipFill>
      <xdr:spPr>
        <a:xfrm>
          <a:off x="3257550" y="771525"/>
          <a:ext cx="1914525" cy="1847850"/>
        </a:xfrm>
        <a:prstGeom prst="rect">
          <a:avLst/>
        </a:prstGeom>
      </xdr:spPr>
    </xdr:pic>
    <xdr:clientData/>
  </xdr:twoCellAnchor>
  <xdr:twoCellAnchor editAs="oneCell">
    <xdr:from>
      <xdr:col>53</xdr:col>
      <xdr:colOff>28575</xdr:colOff>
      <xdr:row>34</xdr:row>
      <xdr:rowOff>171448</xdr:rowOff>
    </xdr:from>
    <xdr:to>
      <xdr:col>53</xdr:col>
      <xdr:colOff>600074</xdr:colOff>
      <xdr:row>38</xdr:row>
      <xdr:rowOff>161919</xdr:rowOff>
    </xdr:to>
    <xdr:pic>
      <xdr:nvPicPr>
        <xdr:cNvPr id="3" name="Picture 2" descr="Image result for drilling bit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00" r="10800" b="3733"/>
        <a:stretch/>
      </xdr:blipFill>
      <xdr:spPr bwMode="auto">
        <a:xfrm flipV="1">
          <a:off x="3657600" y="6810373"/>
          <a:ext cx="571499" cy="752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53</xdr:col>
      <xdr:colOff>152401</xdr:colOff>
      <xdr:row>32</xdr:row>
      <xdr:rowOff>19049</xdr:rowOff>
    </xdr:from>
    <xdr:to>
      <xdr:col>53</xdr:col>
      <xdr:colOff>466725</xdr:colOff>
      <xdr:row>35</xdr:row>
      <xdr:rowOff>160734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/>
      </xdr:nvSpPr>
      <xdr:spPr>
        <a:xfrm>
          <a:off x="3781426" y="6276974"/>
          <a:ext cx="314324" cy="713185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53</xdr:col>
      <xdr:colOff>209551</xdr:colOff>
      <xdr:row>2</xdr:row>
      <xdr:rowOff>65485</xdr:rowOff>
    </xdr:from>
    <xdr:to>
      <xdr:col>53</xdr:col>
      <xdr:colOff>419100</xdr:colOff>
      <xdr:row>32</xdr:row>
      <xdr:rowOff>14288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SpPr/>
      </xdr:nvSpPr>
      <xdr:spPr>
        <a:xfrm>
          <a:off x="3838576" y="541735"/>
          <a:ext cx="209549" cy="5730478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72</xdr:col>
      <xdr:colOff>219075</xdr:colOff>
      <xdr:row>3</xdr:row>
      <xdr:rowOff>57150</xdr:rowOff>
    </xdr:from>
    <xdr:ext cx="1932214" cy="1870528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470" r="9117" b="7165"/>
        <a:stretch/>
      </xdr:blipFill>
      <xdr:spPr>
        <a:xfrm>
          <a:off x="5686425" y="771525"/>
          <a:ext cx="1932214" cy="1870528"/>
        </a:xfrm>
        <a:prstGeom prst="rect">
          <a:avLst/>
        </a:prstGeom>
      </xdr:spPr>
    </xdr:pic>
    <xdr:clientData/>
  </xdr:oneCellAnchor>
  <xdr:twoCellAnchor>
    <xdr:from>
      <xdr:col>76</xdr:col>
      <xdr:colOff>28575</xdr:colOff>
      <xdr:row>2</xdr:row>
      <xdr:rowOff>65485</xdr:rowOff>
    </xdr:from>
    <xdr:to>
      <xdr:col>76</xdr:col>
      <xdr:colOff>600074</xdr:colOff>
      <xdr:row>38</xdr:row>
      <xdr:rowOff>170990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GrpSpPr/>
      </xdr:nvGrpSpPr>
      <xdr:grpSpPr>
        <a:xfrm>
          <a:off x="34155754" y="537664"/>
          <a:ext cx="571499" cy="6895121"/>
          <a:chOff x="6072620" y="550394"/>
          <a:chExt cx="571499" cy="7032778"/>
        </a:xfrm>
      </xdr:grpSpPr>
      <xdr:pic>
        <xdr:nvPicPr>
          <xdr:cNvPr id="8" name="Picture 7" descr="Image result for drilling bit">
            <a:extLst>
              <a:ext uri="{FF2B5EF4-FFF2-40B4-BE49-F238E27FC236}">
                <a16:creationId xmlns:a16="http://schemas.microsoft.com/office/drawing/2014/main" id="{00000000-0008-0000-0C00-000008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0800" r="10800" b="3733"/>
          <a:stretch/>
        </xdr:blipFill>
        <xdr:spPr bwMode="auto">
          <a:xfrm flipV="1">
            <a:off x="6072620" y="6821630"/>
            <a:ext cx="571499" cy="76154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C00-000009000000}"/>
              </a:ext>
            </a:extLst>
          </xdr:cNvPr>
          <xdr:cNvSpPr/>
        </xdr:nvSpPr>
        <xdr:spPr>
          <a:xfrm>
            <a:off x="6196446" y="6288231"/>
            <a:ext cx="314324" cy="713185"/>
          </a:xfrm>
          <a:prstGeom prst="rect">
            <a:avLst/>
          </a:prstGeom>
          <a:solidFill>
            <a:schemeClr val="bg1">
              <a:lumMod val="75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00000000-0008-0000-0C00-00000A000000}"/>
              </a:ext>
            </a:extLst>
          </xdr:cNvPr>
          <xdr:cNvSpPr/>
        </xdr:nvSpPr>
        <xdr:spPr>
          <a:xfrm>
            <a:off x="6253596" y="550394"/>
            <a:ext cx="209549" cy="5733076"/>
          </a:xfrm>
          <a:prstGeom prst="rect">
            <a:avLst/>
          </a:prstGeom>
          <a:solidFill>
            <a:schemeClr val="bg1">
              <a:lumMod val="75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oneCellAnchor>
    <xdr:from>
      <xdr:col>92</xdr:col>
      <xdr:colOff>219075</xdr:colOff>
      <xdr:row>3</xdr:row>
      <xdr:rowOff>57150</xdr:rowOff>
    </xdr:from>
    <xdr:ext cx="1932214" cy="1870528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470" r="9117" b="7165"/>
        <a:stretch/>
      </xdr:blipFill>
      <xdr:spPr>
        <a:xfrm>
          <a:off x="8115300" y="771525"/>
          <a:ext cx="1932214" cy="1870528"/>
        </a:xfrm>
        <a:prstGeom prst="rect">
          <a:avLst/>
        </a:prstGeom>
      </xdr:spPr>
    </xdr:pic>
    <xdr:clientData/>
  </xdr:oneCellAnchor>
  <xdr:oneCellAnchor>
    <xdr:from>
      <xdr:col>96</xdr:col>
      <xdr:colOff>28575</xdr:colOff>
      <xdr:row>44</xdr:row>
      <xdr:rowOff>160109</xdr:rowOff>
    </xdr:from>
    <xdr:ext cx="571499" cy="761542"/>
    <xdr:pic>
      <xdr:nvPicPr>
        <xdr:cNvPr id="12" name="Picture 11" descr="Image result for drilling bit"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00" r="10800" b="3733"/>
        <a:stretch/>
      </xdr:blipFill>
      <xdr:spPr bwMode="auto">
        <a:xfrm flipV="1">
          <a:off x="8515350" y="8751659"/>
          <a:ext cx="571499" cy="761542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</xdr:pic>
    <xdr:clientData/>
  </xdr:oneCellAnchor>
  <xdr:twoCellAnchor>
    <xdr:from>
      <xdr:col>96</xdr:col>
      <xdr:colOff>152401</xdr:colOff>
      <xdr:row>42</xdr:row>
      <xdr:rowOff>7710</xdr:rowOff>
    </xdr:from>
    <xdr:to>
      <xdr:col>96</xdr:col>
      <xdr:colOff>466725</xdr:colOff>
      <xdr:row>45</xdr:row>
      <xdr:rowOff>149395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C00-00000D000000}"/>
            </a:ext>
          </a:extLst>
        </xdr:cNvPr>
        <xdr:cNvSpPr/>
      </xdr:nvSpPr>
      <xdr:spPr>
        <a:xfrm>
          <a:off x="8639176" y="8199210"/>
          <a:ext cx="314324" cy="732235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96</xdr:col>
      <xdr:colOff>209552</xdr:colOff>
      <xdr:row>2</xdr:row>
      <xdr:rowOff>65485</xdr:rowOff>
    </xdr:from>
    <xdr:to>
      <xdr:col>96</xdr:col>
      <xdr:colOff>396876</xdr:colOff>
      <xdr:row>42</xdr:row>
      <xdr:rowOff>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SpPr/>
      </xdr:nvSpPr>
      <xdr:spPr>
        <a:xfrm>
          <a:off x="8696327" y="541735"/>
          <a:ext cx="187324" cy="7649765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102</xdr:col>
      <xdr:colOff>219075</xdr:colOff>
      <xdr:row>3</xdr:row>
      <xdr:rowOff>57150</xdr:rowOff>
    </xdr:from>
    <xdr:ext cx="1913659" cy="1847850"/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C00-00000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470" r="9117" b="7165"/>
        <a:stretch/>
      </xdr:blipFill>
      <xdr:spPr>
        <a:xfrm>
          <a:off x="10544175" y="771525"/>
          <a:ext cx="1913659" cy="1847850"/>
        </a:xfrm>
        <a:prstGeom prst="rect">
          <a:avLst/>
        </a:prstGeom>
      </xdr:spPr>
    </xdr:pic>
    <xdr:clientData/>
  </xdr:oneCellAnchor>
  <xdr:twoCellAnchor>
    <xdr:from>
      <xdr:col>106</xdr:col>
      <xdr:colOff>209551</xdr:colOff>
      <xdr:row>2</xdr:row>
      <xdr:rowOff>65485</xdr:rowOff>
    </xdr:from>
    <xdr:to>
      <xdr:col>106</xdr:col>
      <xdr:colOff>419100</xdr:colOff>
      <xdr:row>32</xdr:row>
      <xdr:rowOff>14288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C00-000010000000}"/>
            </a:ext>
          </a:extLst>
        </xdr:cNvPr>
        <xdr:cNvSpPr/>
      </xdr:nvSpPr>
      <xdr:spPr>
        <a:xfrm>
          <a:off x="11125201" y="541735"/>
          <a:ext cx="209549" cy="5730478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107</xdr:col>
      <xdr:colOff>3463</xdr:colOff>
      <xdr:row>34</xdr:row>
      <xdr:rowOff>0</xdr:rowOff>
    </xdr:from>
    <xdr:to>
      <xdr:col>108</xdr:col>
      <xdr:colOff>117529</xdr:colOff>
      <xdr:row>35</xdr:row>
      <xdr:rowOff>185024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00000000-0008-0000-0C00-000011000000}"/>
            </a:ext>
          </a:extLst>
        </xdr:cNvPr>
        <xdr:cNvGrpSpPr/>
      </xdr:nvGrpSpPr>
      <xdr:grpSpPr>
        <a:xfrm flipH="1">
          <a:off x="42336796" y="6512821"/>
          <a:ext cx="252464" cy="372267"/>
          <a:chOff x="2332671" y="6377940"/>
          <a:chExt cx="228366" cy="375524"/>
        </a:xfrm>
      </xdr:grpSpPr>
      <xdr:grpSp>
        <xdr:nvGrpSpPr>
          <xdr:cNvPr id="18" name="Group 17">
            <a:extLst>
              <a:ext uri="{FF2B5EF4-FFF2-40B4-BE49-F238E27FC236}">
                <a16:creationId xmlns:a16="http://schemas.microsoft.com/office/drawing/2014/main" id="{00000000-0008-0000-0C00-000012000000}"/>
              </a:ext>
            </a:extLst>
          </xdr:cNvPr>
          <xdr:cNvGrpSpPr/>
        </xdr:nvGrpSpPr>
        <xdr:grpSpPr>
          <a:xfrm>
            <a:off x="2336244" y="6377940"/>
            <a:ext cx="224793" cy="219551"/>
            <a:chOff x="2333862" y="6389847"/>
            <a:chExt cx="224793" cy="219551"/>
          </a:xfrm>
        </xdr:grpSpPr>
        <xdr:sp macro="" textlink="">
          <xdr:nvSpPr>
            <xdr:cNvPr id="23" name="Isosceles Triangle 22">
              <a:extLst>
                <a:ext uri="{FF2B5EF4-FFF2-40B4-BE49-F238E27FC236}">
                  <a16:creationId xmlns:a16="http://schemas.microsoft.com/office/drawing/2014/main" id="{00000000-0008-0000-0C00-000017000000}"/>
                </a:ext>
              </a:extLst>
            </xdr:cNvPr>
            <xdr:cNvSpPr/>
          </xdr:nvSpPr>
          <xdr:spPr>
            <a:xfrm rot="16200000">
              <a:off x="2418042" y="6302096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4" name="Isosceles Triangle 23">
              <a:extLst>
                <a:ext uri="{FF2B5EF4-FFF2-40B4-BE49-F238E27FC236}">
                  <a16:creationId xmlns:a16="http://schemas.microsoft.com/office/drawing/2014/main" id="{00000000-0008-0000-0C00-000018000000}"/>
                </a:ext>
              </a:extLst>
            </xdr:cNvPr>
            <xdr:cNvSpPr/>
          </xdr:nvSpPr>
          <xdr:spPr>
            <a:xfrm rot="16200000">
              <a:off x="2421614" y="6359247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5" name="Isosceles Triangle 24">
              <a:extLst>
                <a:ext uri="{FF2B5EF4-FFF2-40B4-BE49-F238E27FC236}">
                  <a16:creationId xmlns:a16="http://schemas.microsoft.com/office/drawing/2014/main" id="{00000000-0008-0000-0C00-000019000000}"/>
                </a:ext>
              </a:extLst>
            </xdr:cNvPr>
            <xdr:cNvSpPr/>
          </xdr:nvSpPr>
          <xdr:spPr>
            <a:xfrm rot="16200000">
              <a:off x="2421613" y="6418777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6" name="Isosceles Triangle 25">
              <a:extLst>
                <a:ext uri="{FF2B5EF4-FFF2-40B4-BE49-F238E27FC236}">
                  <a16:creationId xmlns:a16="http://schemas.microsoft.com/office/drawing/2014/main" id="{00000000-0008-0000-0C00-00001A000000}"/>
                </a:ext>
              </a:extLst>
            </xdr:cNvPr>
            <xdr:cNvSpPr/>
          </xdr:nvSpPr>
          <xdr:spPr>
            <a:xfrm rot="16200000">
              <a:off x="2419232" y="6475928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19" name="Group 18">
            <a:extLst>
              <a:ext uri="{FF2B5EF4-FFF2-40B4-BE49-F238E27FC236}">
                <a16:creationId xmlns:a16="http://schemas.microsoft.com/office/drawing/2014/main" id="{00000000-0008-0000-0C00-000013000000}"/>
              </a:ext>
            </a:extLst>
          </xdr:cNvPr>
          <xdr:cNvGrpSpPr/>
        </xdr:nvGrpSpPr>
        <xdr:grpSpPr>
          <a:xfrm>
            <a:off x="2332671" y="6600589"/>
            <a:ext cx="223603" cy="152875"/>
            <a:chOff x="2332671" y="6600589"/>
            <a:chExt cx="223603" cy="152875"/>
          </a:xfrm>
        </xdr:grpSpPr>
        <xdr:sp macro="" textlink="">
          <xdr:nvSpPr>
            <xdr:cNvPr id="20" name="Isosceles Triangle 19">
              <a:extLst>
                <a:ext uri="{FF2B5EF4-FFF2-40B4-BE49-F238E27FC236}">
                  <a16:creationId xmlns:a16="http://schemas.microsoft.com/office/drawing/2014/main" id="{00000000-0008-0000-0C00-000014000000}"/>
                </a:ext>
              </a:extLst>
            </xdr:cNvPr>
            <xdr:cNvSpPr/>
          </xdr:nvSpPr>
          <xdr:spPr>
            <a:xfrm rot="16200000">
              <a:off x="2422804" y="6568797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1" name="Isosceles Triangle 20">
              <a:extLst>
                <a:ext uri="{FF2B5EF4-FFF2-40B4-BE49-F238E27FC236}">
                  <a16:creationId xmlns:a16="http://schemas.microsoft.com/office/drawing/2014/main" id="{00000000-0008-0000-0C00-000015000000}"/>
                </a:ext>
              </a:extLst>
            </xdr:cNvPr>
            <xdr:cNvSpPr/>
          </xdr:nvSpPr>
          <xdr:spPr>
            <a:xfrm rot="16200000">
              <a:off x="2420423" y="6619994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2" name="Isosceles Triangle 21">
              <a:extLst>
                <a:ext uri="{FF2B5EF4-FFF2-40B4-BE49-F238E27FC236}">
                  <a16:creationId xmlns:a16="http://schemas.microsoft.com/office/drawing/2014/main" id="{00000000-0008-0000-0C00-000016000000}"/>
                </a:ext>
              </a:extLst>
            </xdr:cNvPr>
            <xdr:cNvSpPr/>
          </xdr:nvSpPr>
          <xdr:spPr>
            <a:xfrm rot="16200000">
              <a:off x="2420422" y="6512838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</xdr:grpSp>
    <xdr:clientData/>
  </xdr:twoCellAnchor>
  <xdr:twoCellAnchor>
    <xdr:from>
      <xdr:col>104</xdr:col>
      <xdr:colOff>8660</xdr:colOff>
      <xdr:row>34</xdr:row>
      <xdr:rowOff>8659</xdr:rowOff>
    </xdr:from>
    <xdr:to>
      <xdr:col>106</xdr:col>
      <xdr:colOff>4962</xdr:colOff>
      <xdr:row>36</xdr:row>
      <xdr:rowOff>3183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00000000-0008-0000-0C00-00001B000000}"/>
            </a:ext>
          </a:extLst>
        </xdr:cNvPr>
        <xdr:cNvGrpSpPr/>
      </xdr:nvGrpSpPr>
      <xdr:grpSpPr>
        <a:xfrm>
          <a:off x="41413916" y="6521480"/>
          <a:ext cx="264956" cy="369011"/>
          <a:chOff x="2332671" y="6377940"/>
          <a:chExt cx="228366" cy="375524"/>
        </a:xfrm>
      </xdr:grpSpPr>
      <xdr:grpSp>
        <xdr:nvGrpSpPr>
          <xdr:cNvPr id="28" name="Group 27">
            <a:extLst>
              <a:ext uri="{FF2B5EF4-FFF2-40B4-BE49-F238E27FC236}">
                <a16:creationId xmlns:a16="http://schemas.microsoft.com/office/drawing/2014/main" id="{00000000-0008-0000-0C00-00001C000000}"/>
              </a:ext>
            </a:extLst>
          </xdr:cNvPr>
          <xdr:cNvGrpSpPr/>
        </xdr:nvGrpSpPr>
        <xdr:grpSpPr>
          <a:xfrm>
            <a:off x="2336244" y="6377940"/>
            <a:ext cx="224793" cy="219551"/>
            <a:chOff x="2333862" y="6389847"/>
            <a:chExt cx="224793" cy="219551"/>
          </a:xfrm>
        </xdr:grpSpPr>
        <xdr:sp macro="" textlink="">
          <xdr:nvSpPr>
            <xdr:cNvPr id="33" name="Isosceles Triangle 32">
              <a:extLst>
                <a:ext uri="{FF2B5EF4-FFF2-40B4-BE49-F238E27FC236}">
                  <a16:creationId xmlns:a16="http://schemas.microsoft.com/office/drawing/2014/main" id="{00000000-0008-0000-0C00-000021000000}"/>
                </a:ext>
              </a:extLst>
            </xdr:cNvPr>
            <xdr:cNvSpPr/>
          </xdr:nvSpPr>
          <xdr:spPr>
            <a:xfrm rot="16200000">
              <a:off x="2418042" y="6302096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34" name="Isosceles Triangle 33">
              <a:extLst>
                <a:ext uri="{FF2B5EF4-FFF2-40B4-BE49-F238E27FC236}">
                  <a16:creationId xmlns:a16="http://schemas.microsoft.com/office/drawing/2014/main" id="{00000000-0008-0000-0C00-000022000000}"/>
                </a:ext>
              </a:extLst>
            </xdr:cNvPr>
            <xdr:cNvSpPr/>
          </xdr:nvSpPr>
          <xdr:spPr>
            <a:xfrm rot="16200000">
              <a:off x="2421614" y="6359247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35" name="Isosceles Triangle 34">
              <a:extLst>
                <a:ext uri="{FF2B5EF4-FFF2-40B4-BE49-F238E27FC236}">
                  <a16:creationId xmlns:a16="http://schemas.microsoft.com/office/drawing/2014/main" id="{00000000-0008-0000-0C00-000023000000}"/>
                </a:ext>
              </a:extLst>
            </xdr:cNvPr>
            <xdr:cNvSpPr/>
          </xdr:nvSpPr>
          <xdr:spPr>
            <a:xfrm rot="16200000">
              <a:off x="2421613" y="6418777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36" name="Isosceles Triangle 35">
              <a:extLst>
                <a:ext uri="{FF2B5EF4-FFF2-40B4-BE49-F238E27FC236}">
                  <a16:creationId xmlns:a16="http://schemas.microsoft.com/office/drawing/2014/main" id="{00000000-0008-0000-0C00-000024000000}"/>
                </a:ext>
              </a:extLst>
            </xdr:cNvPr>
            <xdr:cNvSpPr/>
          </xdr:nvSpPr>
          <xdr:spPr>
            <a:xfrm rot="16200000">
              <a:off x="2419232" y="6475928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29" name="Group 28">
            <a:extLst>
              <a:ext uri="{FF2B5EF4-FFF2-40B4-BE49-F238E27FC236}">
                <a16:creationId xmlns:a16="http://schemas.microsoft.com/office/drawing/2014/main" id="{00000000-0008-0000-0C00-00001D000000}"/>
              </a:ext>
            </a:extLst>
          </xdr:cNvPr>
          <xdr:cNvGrpSpPr/>
        </xdr:nvGrpSpPr>
        <xdr:grpSpPr>
          <a:xfrm>
            <a:off x="2332671" y="6600589"/>
            <a:ext cx="223603" cy="152875"/>
            <a:chOff x="2332671" y="6600589"/>
            <a:chExt cx="223603" cy="152875"/>
          </a:xfrm>
        </xdr:grpSpPr>
        <xdr:sp macro="" textlink="">
          <xdr:nvSpPr>
            <xdr:cNvPr id="30" name="Isosceles Triangle 29">
              <a:extLst>
                <a:ext uri="{FF2B5EF4-FFF2-40B4-BE49-F238E27FC236}">
                  <a16:creationId xmlns:a16="http://schemas.microsoft.com/office/drawing/2014/main" id="{00000000-0008-0000-0C00-00001E000000}"/>
                </a:ext>
              </a:extLst>
            </xdr:cNvPr>
            <xdr:cNvSpPr/>
          </xdr:nvSpPr>
          <xdr:spPr>
            <a:xfrm rot="16200000">
              <a:off x="2422804" y="6568797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31" name="Isosceles Triangle 30">
              <a:extLst>
                <a:ext uri="{FF2B5EF4-FFF2-40B4-BE49-F238E27FC236}">
                  <a16:creationId xmlns:a16="http://schemas.microsoft.com/office/drawing/2014/main" id="{00000000-0008-0000-0C00-00001F000000}"/>
                </a:ext>
              </a:extLst>
            </xdr:cNvPr>
            <xdr:cNvSpPr/>
          </xdr:nvSpPr>
          <xdr:spPr>
            <a:xfrm rot="16200000">
              <a:off x="2420423" y="6619994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32" name="Isosceles Triangle 31">
              <a:extLst>
                <a:ext uri="{FF2B5EF4-FFF2-40B4-BE49-F238E27FC236}">
                  <a16:creationId xmlns:a16="http://schemas.microsoft.com/office/drawing/2014/main" id="{00000000-0008-0000-0C00-000020000000}"/>
                </a:ext>
              </a:extLst>
            </xdr:cNvPr>
            <xdr:cNvSpPr/>
          </xdr:nvSpPr>
          <xdr:spPr>
            <a:xfrm rot="16200000">
              <a:off x="2420422" y="6512838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</xdr:grpSp>
    <xdr:clientData/>
  </xdr:twoCellAnchor>
  <xdr:oneCellAnchor>
    <xdr:from>
      <xdr:col>142</xdr:col>
      <xdr:colOff>219075</xdr:colOff>
      <xdr:row>3</xdr:row>
      <xdr:rowOff>57150</xdr:rowOff>
    </xdr:from>
    <xdr:ext cx="1913659" cy="1847850"/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C00-00002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470" r="9117" b="7165"/>
        <a:stretch/>
      </xdr:blipFill>
      <xdr:spPr>
        <a:xfrm>
          <a:off x="15401925" y="771525"/>
          <a:ext cx="1913659" cy="1847850"/>
        </a:xfrm>
        <a:prstGeom prst="rect">
          <a:avLst/>
        </a:prstGeom>
      </xdr:spPr>
    </xdr:pic>
    <xdr:clientData/>
  </xdr:oneCellAnchor>
  <xdr:twoCellAnchor>
    <xdr:from>
      <xdr:col>146</xdr:col>
      <xdr:colOff>209551</xdr:colOff>
      <xdr:row>2</xdr:row>
      <xdr:rowOff>65485</xdr:rowOff>
    </xdr:from>
    <xdr:to>
      <xdr:col>146</xdr:col>
      <xdr:colOff>419100</xdr:colOff>
      <xdr:row>33</xdr:row>
      <xdr:rowOff>173182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C00-000026000000}"/>
            </a:ext>
          </a:extLst>
        </xdr:cNvPr>
        <xdr:cNvSpPr/>
      </xdr:nvSpPr>
      <xdr:spPr>
        <a:xfrm>
          <a:off x="15982951" y="541735"/>
          <a:ext cx="209549" cy="6079872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 w="19050"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147</xdr:col>
      <xdr:colOff>6927</xdr:colOff>
      <xdr:row>34</xdr:row>
      <xdr:rowOff>0</xdr:rowOff>
    </xdr:from>
    <xdr:to>
      <xdr:col>148</xdr:col>
      <xdr:colOff>117529</xdr:colOff>
      <xdr:row>35</xdr:row>
      <xdr:rowOff>185024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00000000-0008-0000-0C00-000027000000}"/>
            </a:ext>
          </a:extLst>
        </xdr:cNvPr>
        <xdr:cNvGrpSpPr/>
      </xdr:nvGrpSpPr>
      <xdr:grpSpPr>
        <a:xfrm flipH="1">
          <a:off x="52402568" y="6512821"/>
          <a:ext cx="248999" cy="372267"/>
          <a:chOff x="2332671" y="6377940"/>
          <a:chExt cx="228366" cy="375524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00000000-0008-0000-0C00-000028000000}"/>
              </a:ext>
            </a:extLst>
          </xdr:cNvPr>
          <xdr:cNvGrpSpPr/>
        </xdr:nvGrpSpPr>
        <xdr:grpSpPr>
          <a:xfrm>
            <a:off x="2336244" y="6377940"/>
            <a:ext cx="224793" cy="219551"/>
            <a:chOff x="2333862" y="6389847"/>
            <a:chExt cx="224793" cy="219551"/>
          </a:xfrm>
        </xdr:grpSpPr>
        <xdr:sp macro="" textlink="">
          <xdr:nvSpPr>
            <xdr:cNvPr id="45" name="Isosceles Triangle 44">
              <a:extLst>
                <a:ext uri="{FF2B5EF4-FFF2-40B4-BE49-F238E27FC236}">
                  <a16:creationId xmlns:a16="http://schemas.microsoft.com/office/drawing/2014/main" id="{00000000-0008-0000-0C00-00002D000000}"/>
                </a:ext>
              </a:extLst>
            </xdr:cNvPr>
            <xdr:cNvSpPr/>
          </xdr:nvSpPr>
          <xdr:spPr>
            <a:xfrm rot="16200000">
              <a:off x="2418042" y="6302096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46" name="Isosceles Triangle 45">
              <a:extLst>
                <a:ext uri="{FF2B5EF4-FFF2-40B4-BE49-F238E27FC236}">
                  <a16:creationId xmlns:a16="http://schemas.microsoft.com/office/drawing/2014/main" id="{00000000-0008-0000-0C00-00002E000000}"/>
                </a:ext>
              </a:extLst>
            </xdr:cNvPr>
            <xdr:cNvSpPr/>
          </xdr:nvSpPr>
          <xdr:spPr>
            <a:xfrm rot="16200000">
              <a:off x="2421614" y="6359247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47" name="Isosceles Triangle 46">
              <a:extLst>
                <a:ext uri="{FF2B5EF4-FFF2-40B4-BE49-F238E27FC236}">
                  <a16:creationId xmlns:a16="http://schemas.microsoft.com/office/drawing/2014/main" id="{00000000-0008-0000-0C00-00002F000000}"/>
                </a:ext>
              </a:extLst>
            </xdr:cNvPr>
            <xdr:cNvSpPr/>
          </xdr:nvSpPr>
          <xdr:spPr>
            <a:xfrm rot="16200000">
              <a:off x="2421613" y="6418777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48" name="Isosceles Triangle 47">
              <a:extLst>
                <a:ext uri="{FF2B5EF4-FFF2-40B4-BE49-F238E27FC236}">
                  <a16:creationId xmlns:a16="http://schemas.microsoft.com/office/drawing/2014/main" id="{00000000-0008-0000-0C00-000030000000}"/>
                </a:ext>
              </a:extLst>
            </xdr:cNvPr>
            <xdr:cNvSpPr/>
          </xdr:nvSpPr>
          <xdr:spPr>
            <a:xfrm rot="16200000">
              <a:off x="2419232" y="6475928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00000000-0008-0000-0C00-000029000000}"/>
              </a:ext>
            </a:extLst>
          </xdr:cNvPr>
          <xdr:cNvGrpSpPr/>
        </xdr:nvGrpSpPr>
        <xdr:grpSpPr>
          <a:xfrm>
            <a:off x="2332671" y="6600589"/>
            <a:ext cx="223603" cy="152875"/>
            <a:chOff x="2332671" y="6600589"/>
            <a:chExt cx="223603" cy="152875"/>
          </a:xfrm>
        </xdr:grpSpPr>
        <xdr:sp macro="" textlink="">
          <xdr:nvSpPr>
            <xdr:cNvPr id="42" name="Isosceles Triangle 41">
              <a:extLst>
                <a:ext uri="{FF2B5EF4-FFF2-40B4-BE49-F238E27FC236}">
                  <a16:creationId xmlns:a16="http://schemas.microsoft.com/office/drawing/2014/main" id="{00000000-0008-0000-0C00-00002A000000}"/>
                </a:ext>
              </a:extLst>
            </xdr:cNvPr>
            <xdr:cNvSpPr/>
          </xdr:nvSpPr>
          <xdr:spPr>
            <a:xfrm rot="16200000">
              <a:off x="2422804" y="6568797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43" name="Isosceles Triangle 42">
              <a:extLst>
                <a:ext uri="{FF2B5EF4-FFF2-40B4-BE49-F238E27FC236}">
                  <a16:creationId xmlns:a16="http://schemas.microsoft.com/office/drawing/2014/main" id="{00000000-0008-0000-0C00-00002B000000}"/>
                </a:ext>
              </a:extLst>
            </xdr:cNvPr>
            <xdr:cNvSpPr/>
          </xdr:nvSpPr>
          <xdr:spPr>
            <a:xfrm rot="16200000">
              <a:off x="2420423" y="6619994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44" name="Isosceles Triangle 43">
              <a:extLst>
                <a:ext uri="{FF2B5EF4-FFF2-40B4-BE49-F238E27FC236}">
                  <a16:creationId xmlns:a16="http://schemas.microsoft.com/office/drawing/2014/main" id="{00000000-0008-0000-0C00-00002C000000}"/>
                </a:ext>
              </a:extLst>
            </xdr:cNvPr>
            <xdr:cNvSpPr/>
          </xdr:nvSpPr>
          <xdr:spPr>
            <a:xfrm rot="16200000">
              <a:off x="2420422" y="6512838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</xdr:grpSp>
    <xdr:clientData/>
  </xdr:twoCellAnchor>
  <xdr:twoCellAnchor>
    <xdr:from>
      <xdr:col>144</xdr:col>
      <xdr:colOff>8660</xdr:colOff>
      <xdr:row>34</xdr:row>
      <xdr:rowOff>8659</xdr:rowOff>
    </xdr:from>
    <xdr:to>
      <xdr:col>146</xdr:col>
      <xdr:colOff>4962</xdr:colOff>
      <xdr:row>36</xdr:row>
      <xdr:rowOff>3183</xdr:rowOff>
    </xdr:to>
    <xdr:grpSp>
      <xdr:nvGrpSpPr>
        <xdr:cNvPr id="49" name="Group 48">
          <a:extLst>
            <a:ext uri="{FF2B5EF4-FFF2-40B4-BE49-F238E27FC236}">
              <a16:creationId xmlns:a16="http://schemas.microsoft.com/office/drawing/2014/main" id="{00000000-0008-0000-0C00-000031000000}"/>
            </a:ext>
          </a:extLst>
        </xdr:cNvPr>
        <xdr:cNvGrpSpPr/>
      </xdr:nvGrpSpPr>
      <xdr:grpSpPr>
        <a:xfrm>
          <a:off x="51476224" y="6521480"/>
          <a:ext cx="264956" cy="369011"/>
          <a:chOff x="2332671" y="6377940"/>
          <a:chExt cx="228366" cy="375524"/>
        </a:xfrm>
      </xdr:grpSpPr>
      <xdr:grpSp>
        <xdr:nvGrpSpPr>
          <xdr:cNvPr id="50" name="Group 49">
            <a:extLst>
              <a:ext uri="{FF2B5EF4-FFF2-40B4-BE49-F238E27FC236}">
                <a16:creationId xmlns:a16="http://schemas.microsoft.com/office/drawing/2014/main" id="{00000000-0008-0000-0C00-000032000000}"/>
              </a:ext>
            </a:extLst>
          </xdr:cNvPr>
          <xdr:cNvGrpSpPr/>
        </xdr:nvGrpSpPr>
        <xdr:grpSpPr>
          <a:xfrm>
            <a:off x="2336244" y="6377940"/>
            <a:ext cx="224793" cy="219551"/>
            <a:chOff x="2333862" y="6389847"/>
            <a:chExt cx="224793" cy="219551"/>
          </a:xfrm>
        </xdr:grpSpPr>
        <xdr:sp macro="" textlink="">
          <xdr:nvSpPr>
            <xdr:cNvPr id="55" name="Isosceles Triangle 54">
              <a:extLst>
                <a:ext uri="{FF2B5EF4-FFF2-40B4-BE49-F238E27FC236}">
                  <a16:creationId xmlns:a16="http://schemas.microsoft.com/office/drawing/2014/main" id="{00000000-0008-0000-0C00-000037000000}"/>
                </a:ext>
              </a:extLst>
            </xdr:cNvPr>
            <xdr:cNvSpPr/>
          </xdr:nvSpPr>
          <xdr:spPr>
            <a:xfrm rot="16200000">
              <a:off x="2418042" y="6302096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56" name="Isosceles Triangle 55">
              <a:extLst>
                <a:ext uri="{FF2B5EF4-FFF2-40B4-BE49-F238E27FC236}">
                  <a16:creationId xmlns:a16="http://schemas.microsoft.com/office/drawing/2014/main" id="{00000000-0008-0000-0C00-000038000000}"/>
                </a:ext>
              </a:extLst>
            </xdr:cNvPr>
            <xdr:cNvSpPr/>
          </xdr:nvSpPr>
          <xdr:spPr>
            <a:xfrm rot="16200000">
              <a:off x="2421614" y="6359247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57" name="Isosceles Triangle 56">
              <a:extLst>
                <a:ext uri="{FF2B5EF4-FFF2-40B4-BE49-F238E27FC236}">
                  <a16:creationId xmlns:a16="http://schemas.microsoft.com/office/drawing/2014/main" id="{00000000-0008-0000-0C00-000039000000}"/>
                </a:ext>
              </a:extLst>
            </xdr:cNvPr>
            <xdr:cNvSpPr/>
          </xdr:nvSpPr>
          <xdr:spPr>
            <a:xfrm rot="16200000">
              <a:off x="2421613" y="6418777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58" name="Isosceles Triangle 57">
              <a:extLst>
                <a:ext uri="{FF2B5EF4-FFF2-40B4-BE49-F238E27FC236}">
                  <a16:creationId xmlns:a16="http://schemas.microsoft.com/office/drawing/2014/main" id="{00000000-0008-0000-0C00-00003A000000}"/>
                </a:ext>
              </a:extLst>
            </xdr:cNvPr>
            <xdr:cNvSpPr/>
          </xdr:nvSpPr>
          <xdr:spPr>
            <a:xfrm rot="16200000">
              <a:off x="2419232" y="6475928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51" name="Group 50">
            <a:extLst>
              <a:ext uri="{FF2B5EF4-FFF2-40B4-BE49-F238E27FC236}">
                <a16:creationId xmlns:a16="http://schemas.microsoft.com/office/drawing/2014/main" id="{00000000-0008-0000-0C00-000033000000}"/>
              </a:ext>
            </a:extLst>
          </xdr:cNvPr>
          <xdr:cNvGrpSpPr/>
        </xdr:nvGrpSpPr>
        <xdr:grpSpPr>
          <a:xfrm>
            <a:off x="2332671" y="6600589"/>
            <a:ext cx="223603" cy="152875"/>
            <a:chOff x="2332671" y="6600589"/>
            <a:chExt cx="223603" cy="152875"/>
          </a:xfrm>
        </xdr:grpSpPr>
        <xdr:sp macro="" textlink="">
          <xdr:nvSpPr>
            <xdr:cNvPr id="52" name="Isosceles Triangle 51">
              <a:extLst>
                <a:ext uri="{FF2B5EF4-FFF2-40B4-BE49-F238E27FC236}">
                  <a16:creationId xmlns:a16="http://schemas.microsoft.com/office/drawing/2014/main" id="{00000000-0008-0000-0C00-000034000000}"/>
                </a:ext>
              </a:extLst>
            </xdr:cNvPr>
            <xdr:cNvSpPr/>
          </xdr:nvSpPr>
          <xdr:spPr>
            <a:xfrm rot="16200000">
              <a:off x="2422804" y="6568797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53" name="Isosceles Triangle 52">
              <a:extLst>
                <a:ext uri="{FF2B5EF4-FFF2-40B4-BE49-F238E27FC236}">
                  <a16:creationId xmlns:a16="http://schemas.microsoft.com/office/drawing/2014/main" id="{00000000-0008-0000-0C00-000035000000}"/>
                </a:ext>
              </a:extLst>
            </xdr:cNvPr>
            <xdr:cNvSpPr/>
          </xdr:nvSpPr>
          <xdr:spPr>
            <a:xfrm rot="16200000">
              <a:off x="2420423" y="6619994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54" name="Isosceles Triangle 53">
              <a:extLst>
                <a:ext uri="{FF2B5EF4-FFF2-40B4-BE49-F238E27FC236}">
                  <a16:creationId xmlns:a16="http://schemas.microsoft.com/office/drawing/2014/main" id="{00000000-0008-0000-0C00-000036000000}"/>
                </a:ext>
              </a:extLst>
            </xdr:cNvPr>
            <xdr:cNvSpPr/>
          </xdr:nvSpPr>
          <xdr:spPr>
            <a:xfrm rot="16200000">
              <a:off x="2420422" y="6512838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</xdr:grpSp>
    <xdr:clientData/>
  </xdr:twoCellAnchor>
  <xdr:twoCellAnchor>
    <xdr:from>
      <xdr:col>146</xdr:col>
      <xdr:colOff>147205</xdr:colOff>
      <xdr:row>29</xdr:row>
      <xdr:rowOff>155864</xdr:rowOff>
    </xdr:from>
    <xdr:to>
      <xdr:col>146</xdr:col>
      <xdr:colOff>484910</xdr:colOff>
      <xdr:row>30</xdr:row>
      <xdr:rowOff>173182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00000000-0008-0000-0C00-00003B000000}"/>
            </a:ext>
          </a:extLst>
        </xdr:cNvPr>
        <xdr:cNvSpPr/>
      </xdr:nvSpPr>
      <xdr:spPr>
        <a:xfrm>
          <a:off x="15920605" y="5842289"/>
          <a:ext cx="337705" cy="207818"/>
        </a:xfrm>
        <a:prstGeom prst="rect">
          <a:avLst/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151</xdr:col>
      <xdr:colOff>337703</xdr:colOff>
      <xdr:row>1</xdr:row>
      <xdr:rowOff>43296</xdr:rowOff>
    </xdr:from>
    <xdr:to>
      <xdr:col>157</xdr:col>
      <xdr:colOff>69271</xdr:colOff>
      <xdr:row>35</xdr:row>
      <xdr:rowOff>147204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C00-00003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3853"/>
        <a:stretch/>
      </xdr:blipFill>
      <xdr:spPr bwMode="auto">
        <a:xfrm>
          <a:off x="17339828" y="281421"/>
          <a:ext cx="3389170" cy="66952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27</xdr:col>
      <xdr:colOff>487505</xdr:colOff>
      <xdr:row>3</xdr:row>
      <xdr:rowOff>57150</xdr:rowOff>
    </xdr:from>
    <xdr:ext cx="1913659" cy="1847850"/>
    <xdr:pic>
      <xdr:nvPicPr>
        <xdr:cNvPr id="61" name="Picture 60">
          <a:extLst>
            <a:ext uri="{FF2B5EF4-FFF2-40B4-BE49-F238E27FC236}">
              <a16:creationId xmlns:a16="http://schemas.microsoft.com/office/drawing/2014/main" id="{00000000-0008-0000-0C00-00003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470" r="9117" b="7165"/>
        <a:stretch/>
      </xdr:blipFill>
      <xdr:spPr>
        <a:xfrm>
          <a:off x="868505" y="771525"/>
          <a:ext cx="1913659" cy="1847850"/>
        </a:xfrm>
        <a:prstGeom prst="rect">
          <a:avLst/>
        </a:prstGeom>
      </xdr:spPr>
    </xdr:pic>
    <xdr:clientData/>
  </xdr:oneCellAnchor>
  <xdr:twoCellAnchor editAs="oneCell">
    <xdr:from>
      <xdr:col>31</xdr:col>
      <xdr:colOff>25977</xdr:colOff>
      <xdr:row>35</xdr:row>
      <xdr:rowOff>86591</xdr:rowOff>
    </xdr:from>
    <xdr:to>
      <xdr:col>31</xdr:col>
      <xdr:colOff>606138</xdr:colOff>
      <xdr:row>39</xdr:row>
      <xdr:rowOff>412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00000000-0008-0000-0C00-00003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73696" t="20003" r="12097" b="23625"/>
        <a:stretch/>
      </xdr:blipFill>
      <xdr:spPr>
        <a:xfrm>
          <a:off x="1226127" y="6916016"/>
          <a:ext cx="580161" cy="666750"/>
        </a:xfrm>
        <a:prstGeom prst="rect">
          <a:avLst/>
        </a:prstGeom>
      </xdr:spPr>
    </xdr:pic>
    <xdr:clientData/>
  </xdr:twoCellAnchor>
  <xdr:twoCellAnchor>
    <xdr:from>
      <xdr:col>34</xdr:col>
      <xdr:colOff>0</xdr:colOff>
      <xdr:row>13</xdr:row>
      <xdr:rowOff>25977</xdr:rowOff>
    </xdr:from>
    <xdr:to>
      <xdr:col>36</xdr:col>
      <xdr:colOff>285750</xdr:colOff>
      <xdr:row>16</xdr:row>
      <xdr:rowOff>43295</xdr:rowOff>
    </xdr:to>
    <xdr:grpSp>
      <xdr:nvGrpSpPr>
        <xdr:cNvPr id="63" name="Group 62">
          <a:extLst>
            <a:ext uri="{FF2B5EF4-FFF2-40B4-BE49-F238E27FC236}">
              <a16:creationId xmlns:a16="http://schemas.microsoft.com/office/drawing/2014/main" id="{00000000-0008-0000-0C00-00003F000000}"/>
            </a:ext>
          </a:extLst>
        </xdr:cNvPr>
        <xdr:cNvGrpSpPr/>
      </xdr:nvGrpSpPr>
      <xdr:grpSpPr>
        <a:xfrm>
          <a:off x="14678269" y="2606682"/>
          <a:ext cx="635814" cy="579049"/>
          <a:chOff x="1480705" y="2363932"/>
          <a:chExt cx="623454" cy="588818"/>
        </a:xfrm>
      </xdr:grpSpPr>
      <xdr:pic>
        <xdr:nvPicPr>
          <xdr:cNvPr id="64" name="Picture 63" descr="Image result for pressure gauge">
            <a:extLst>
              <a:ext uri="{FF2B5EF4-FFF2-40B4-BE49-F238E27FC236}">
                <a16:creationId xmlns:a16="http://schemas.microsoft.com/office/drawing/2014/main" id="{00000000-0008-0000-0C00-000040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2180" t="3639" r="11998" b="3578"/>
          <a:stretch/>
        </xdr:blipFill>
        <xdr:spPr bwMode="auto">
          <a:xfrm>
            <a:off x="1625023" y="2363932"/>
            <a:ext cx="479136" cy="58881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cxnSp macro="">
        <xdr:nvCxnSpPr>
          <xdr:cNvPr id="65" name="Straight Connector 64">
            <a:extLst>
              <a:ext uri="{FF2B5EF4-FFF2-40B4-BE49-F238E27FC236}">
                <a16:creationId xmlns:a16="http://schemas.microsoft.com/office/drawing/2014/main" id="{00000000-0008-0000-0C00-000041000000}"/>
              </a:ext>
            </a:extLst>
          </xdr:cNvPr>
          <xdr:cNvCxnSpPr/>
        </xdr:nvCxnSpPr>
        <xdr:spPr>
          <a:xfrm>
            <a:off x="1480705" y="2935433"/>
            <a:ext cx="398318" cy="0"/>
          </a:xfrm>
          <a:prstGeom prst="line">
            <a:avLst/>
          </a:prstGeom>
          <a:ln w="60325">
            <a:solidFill>
              <a:schemeClr val="accent2">
                <a:lumMod val="7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56</xdr:col>
      <xdr:colOff>5196</xdr:colOff>
      <xdr:row>13</xdr:row>
      <xdr:rowOff>5195</xdr:rowOff>
    </xdr:from>
    <xdr:to>
      <xdr:col>58</xdr:col>
      <xdr:colOff>290945</xdr:colOff>
      <xdr:row>16</xdr:row>
      <xdr:rowOff>22513</xdr:rowOff>
    </xdr:to>
    <xdr:grpSp>
      <xdr:nvGrpSpPr>
        <xdr:cNvPr id="66" name="Group 65">
          <a:extLst>
            <a:ext uri="{FF2B5EF4-FFF2-40B4-BE49-F238E27FC236}">
              <a16:creationId xmlns:a16="http://schemas.microsoft.com/office/drawing/2014/main" id="{00000000-0008-0000-0C00-000042000000}"/>
            </a:ext>
          </a:extLst>
        </xdr:cNvPr>
        <xdr:cNvGrpSpPr/>
      </xdr:nvGrpSpPr>
      <xdr:grpSpPr>
        <a:xfrm>
          <a:off x="24615517" y="2585900"/>
          <a:ext cx="635813" cy="579049"/>
          <a:chOff x="1480705" y="2363932"/>
          <a:chExt cx="623454" cy="588818"/>
        </a:xfrm>
      </xdr:grpSpPr>
      <xdr:pic>
        <xdr:nvPicPr>
          <xdr:cNvPr id="67" name="Picture 66" descr="Image result for pressure gauge">
            <a:extLst>
              <a:ext uri="{FF2B5EF4-FFF2-40B4-BE49-F238E27FC236}">
                <a16:creationId xmlns:a16="http://schemas.microsoft.com/office/drawing/2014/main" id="{00000000-0008-0000-0C00-000043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2180" t="3639" r="11998" b="3578"/>
          <a:stretch/>
        </xdr:blipFill>
        <xdr:spPr bwMode="auto">
          <a:xfrm>
            <a:off x="1625023" y="2363932"/>
            <a:ext cx="479136" cy="58881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cxnSp macro="">
        <xdr:nvCxnSpPr>
          <xdr:cNvPr id="68" name="Straight Connector 67">
            <a:extLst>
              <a:ext uri="{FF2B5EF4-FFF2-40B4-BE49-F238E27FC236}">
                <a16:creationId xmlns:a16="http://schemas.microsoft.com/office/drawing/2014/main" id="{00000000-0008-0000-0C00-000044000000}"/>
              </a:ext>
            </a:extLst>
          </xdr:cNvPr>
          <xdr:cNvCxnSpPr/>
        </xdr:nvCxnSpPr>
        <xdr:spPr>
          <a:xfrm>
            <a:off x="1480705" y="2935433"/>
            <a:ext cx="398318" cy="0"/>
          </a:xfrm>
          <a:prstGeom prst="line">
            <a:avLst/>
          </a:prstGeom>
          <a:ln w="60325">
            <a:solidFill>
              <a:schemeClr val="accent2">
                <a:lumMod val="7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78</xdr:col>
      <xdr:colOff>129886</xdr:colOff>
      <xdr:row>13</xdr:row>
      <xdr:rowOff>0</xdr:rowOff>
    </xdr:from>
    <xdr:to>
      <xdr:col>81</xdr:col>
      <xdr:colOff>285749</xdr:colOff>
      <xdr:row>16</xdr:row>
      <xdr:rowOff>17318</xdr:rowOff>
    </xdr:to>
    <xdr:grpSp>
      <xdr:nvGrpSpPr>
        <xdr:cNvPr id="69" name="Group 68">
          <a:extLst>
            <a:ext uri="{FF2B5EF4-FFF2-40B4-BE49-F238E27FC236}">
              <a16:creationId xmlns:a16="http://schemas.microsoft.com/office/drawing/2014/main" id="{00000000-0008-0000-0C00-000045000000}"/>
            </a:ext>
          </a:extLst>
        </xdr:cNvPr>
        <xdr:cNvGrpSpPr/>
      </xdr:nvGrpSpPr>
      <xdr:grpSpPr>
        <a:xfrm>
          <a:off x="35054886" y="2580705"/>
          <a:ext cx="644325" cy="579049"/>
          <a:chOff x="1480705" y="2363932"/>
          <a:chExt cx="623454" cy="588818"/>
        </a:xfrm>
      </xdr:grpSpPr>
      <xdr:pic>
        <xdr:nvPicPr>
          <xdr:cNvPr id="70" name="Picture 69" descr="Image result for pressure gauge">
            <a:extLst>
              <a:ext uri="{FF2B5EF4-FFF2-40B4-BE49-F238E27FC236}">
                <a16:creationId xmlns:a16="http://schemas.microsoft.com/office/drawing/2014/main" id="{00000000-0008-0000-0C00-000046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2180" t="3639" r="11998" b="3578"/>
          <a:stretch/>
        </xdr:blipFill>
        <xdr:spPr bwMode="auto">
          <a:xfrm>
            <a:off x="1625023" y="2363932"/>
            <a:ext cx="479136" cy="58881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cxnSp macro="">
        <xdr:nvCxnSpPr>
          <xdr:cNvPr id="71" name="Straight Connector 70">
            <a:extLst>
              <a:ext uri="{FF2B5EF4-FFF2-40B4-BE49-F238E27FC236}">
                <a16:creationId xmlns:a16="http://schemas.microsoft.com/office/drawing/2014/main" id="{00000000-0008-0000-0C00-000047000000}"/>
              </a:ext>
            </a:extLst>
          </xdr:cNvPr>
          <xdr:cNvCxnSpPr/>
        </xdr:nvCxnSpPr>
        <xdr:spPr>
          <a:xfrm>
            <a:off x="1480705" y="2935433"/>
            <a:ext cx="398318" cy="0"/>
          </a:xfrm>
          <a:prstGeom prst="line">
            <a:avLst/>
          </a:prstGeom>
          <a:ln w="60325">
            <a:solidFill>
              <a:schemeClr val="accent2">
                <a:lumMod val="7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99</xdr:col>
      <xdr:colOff>1</xdr:colOff>
      <xdr:row>12</xdr:row>
      <xdr:rowOff>181841</xdr:rowOff>
    </xdr:from>
    <xdr:to>
      <xdr:col>101</xdr:col>
      <xdr:colOff>285750</xdr:colOff>
      <xdr:row>16</xdr:row>
      <xdr:rowOff>8659</xdr:rowOff>
    </xdr:to>
    <xdr:grpSp>
      <xdr:nvGrpSpPr>
        <xdr:cNvPr id="72" name="Group 71">
          <a:extLst>
            <a:ext uri="{FF2B5EF4-FFF2-40B4-BE49-F238E27FC236}">
              <a16:creationId xmlns:a16="http://schemas.microsoft.com/office/drawing/2014/main" id="{00000000-0008-0000-0C00-000048000000}"/>
            </a:ext>
          </a:extLst>
        </xdr:cNvPr>
        <xdr:cNvGrpSpPr/>
      </xdr:nvGrpSpPr>
      <xdr:grpSpPr>
        <a:xfrm>
          <a:off x="40094552" y="2575303"/>
          <a:ext cx="635813" cy="575792"/>
          <a:chOff x="1480705" y="2363932"/>
          <a:chExt cx="623454" cy="588818"/>
        </a:xfrm>
      </xdr:grpSpPr>
      <xdr:pic>
        <xdr:nvPicPr>
          <xdr:cNvPr id="73" name="Picture 72" descr="Image result for pressure gauge">
            <a:extLst>
              <a:ext uri="{FF2B5EF4-FFF2-40B4-BE49-F238E27FC236}">
                <a16:creationId xmlns:a16="http://schemas.microsoft.com/office/drawing/2014/main" id="{00000000-0008-0000-0C00-000049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2180" t="3639" r="11998" b="3578"/>
          <a:stretch/>
        </xdr:blipFill>
        <xdr:spPr bwMode="auto">
          <a:xfrm>
            <a:off x="1625023" y="2363932"/>
            <a:ext cx="479136" cy="58881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cxnSp macro="">
        <xdr:nvCxnSpPr>
          <xdr:cNvPr id="74" name="Straight Connector 73">
            <a:extLst>
              <a:ext uri="{FF2B5EF4-FFF2-40B4-BE49-F238E27FC236}">
                <a16:creationId xmlns:a16="http://schemas.microsoft.com/office/drawing/2014/main" id="{00000000-0008-0000-0C00-00004A000000}"/>
              </a:ext>
            </a:extLst>
          </xdr:cNvPr>
          <xdr:cNvCxnSpPr/>
        </xdr:nvCxnSpPr>
        <xdr:spPr>
          <a:xfrm>
            <a:off x="1480705" y="2935433"/>
            <a:ext cx="398318" cy="0"/>
          </a:xfrm>
          <a:prstGeom prst="line">
            <a:avLst/>
          </a:prstGeom>
          <a:ln w="60325">
            <a:solidFill>
              <a:schemeClr val="accent2">
                <a:lumMod val="7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108</xdr:col>
      <xdr:colOff>112569</xdr:colOff>
      <xdr:row>0</xdr:row>
      <xdr:rowOff>77933</xdr:rowOff>
    </xdr:from>
    <xdr:to>
      <xdr:col>111</xdr:col>
      <xdr:colOff>337704</xdr:colOff>
      <xdr:row>2</xdr:row>
      <xdr:rowOff>181842</xdr:rowOff>
    </xdr:to>
    <xdr:grpSp>
      <xdr:nvGrpSpPr>
        <xdr:cNvPr id="75" name="Group 74">
          <a:extLst>
            <a:ext uri="{FF2B5EF4-FFF2-40B4-BE49-F238E27FC236}">
              <a16:creationId xmlns:a16="http://schemas.microsoft.com/office/drawing/2014/main" id="{00000000-0008-0000-0C00-00004B000000}"/>
            </a:ext>
          </a:extLst>
        </xdr:cNvPr>
        <xdr:cNvGrpSpPr/>
      </xdr:nvGrpSpPr>
      <xdr:grpSpPr>
        <a:xfrm>
          <a:off x="42584300" y="77933"/>
          <a:ext cx="713596" cy="576088"/>
          <a:chOff x="11724408" y="103910"/>
          <a:chExt cx="623454" cy="588818"/>
        </a:xfrm>
      </xdr:grpSpPr>
      <xdr:pic>
        <xdr:nvPicPr>
          <xdr:cNvPr id="76" name="Picture 75" descr="Image result for pressure gauge">
            <a:extLst>
              <a:ext uri="{FF2B5EF4-FFF2-40B4-BE49-F238E27FC236}">
                <a16:creationId xmlns:a16="http://schemas.microsoft.com/office/drawing/2014/main" id="{00000000-0008-0000-0C00-00004C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2180" t="3639" r="11998" b="3578"/>
          <a:stretch/>
        </xdr:blipFill>
        <xdr:spPr bwMode="auto">
          <a:xfrm>
            <a:off x="11868726" y="103910"/>
            <a:ext cx="479136" cy="58881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cxnSp macro="">
        <xdr:nvCxnSpPr>
          <xdr:cNvPr id="77" name="Straight Connector 76">
            <a:extLst>
              <a:ext uri="{FF2B5EF4-FFF2-40B4-BE49-F238E27FC236}">
                <a16:creationId xmlns:a16="http://schemas.microsoft.com/office/drawing/2014/main" id="{00000000-0008-0000-0C00-00004D000000}"/>
              </a:ext>
            </a:extLst>
          </xdr:cNvPr>
          <xdr:cNvCxnSpPr/>
        </xdr:nvCxnSpPr>
        <xdr:spPr>
          <a:xfrm>
            <a:off x="11317432" y="675411"/>
            <a:ext cx="805294" cy="0"/>
          </a:xfrm>
          <a:prstGeom prst="line">
            <a:avLst/>
          </a:prstGeom>
          <a:ln w="60325">
            <a:solidFill>
              <a:schemeClr val="accent2">
                <a:lumMod val="7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149</xdr:col>
      <xdr:colOff>0</xdr:colOff>
      <xdr:row>13</xdr:row>
      <xdr:rowOff>8659</xdr:rowOff>
    </xdr:from>
    <xdr:to>
      <xdr:col>151</xdr:col>
      <xdr:colOff>285749</xdr:colOff>
      <xdr:row>16</xdr:row>
      <xdr:rowOff>25977</xdr:rowOff>
    </xdr:to>
    <xdr:grpSp>
      <xdr:nvGrpSpPr>
        <xdr:cNvPr id="78" name="Group 77">
          <a:extLst>
            <a:ext uri="{FF2B5EF4-FFF2-40B4-BE49-F238E27FC236}">
              <a16:creationId xmlns:a16="http://schemas.microsoft.com/office/drawing/2014/main" id="{00000000-0008-0000-0C00-00004E000000}"/>
            </a:ext>
          </a:extLst>
        </xdr:cNvPr>
        <xdr:cNvGrpSpPr/>
      </xdr:nvGrpSpPr>
      <xdr:grpSpPr>
        <a:xfrm>
          <a:off x="52672436" y="2589364"/>
          <a:ext cx="635813" cy="579049"/>
          <a:chOff x="1480705" y="2363932"/>
          <a:chExt cx="623454" cy="588818"/>
        </a:xfrm>
      </xdr:grpSpPr>
      <xdr:pic>
        <xdr:nvPicPr>
          <xdr:cNvPr id="79" name="Picture 78" descr="Image result for pressure gauge">
            <a:extLst>
              <a:ext uri="{FF2B5EF4-FFF2-40B4-BE49-F238E27FC236}">
                <a16:creationId xmlns:a16="http://schemas.microsoft.com/office/drawing/2014/main" id="{00000000-0008-0000-0C00-00004F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2180" t="3639" r="11998" b="3578"/>
          <a:stretch/>
        </xdr:blipFill>
        <xdr:spPr bwMode="auto">
          <a:xfrm>
            <a:off x="1625023" y="2363932"/>
            <a:ext cx="479136" cy="58881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cxnSp macro="">
        <xdr:nvCxnSpPr>
          <xdr:cNvPr id="80" name="Straight Connector 79">
            <a:extLst>
              <a:ext uri="{FF2B5EF4-FFF2-40B4-BE49-F238E27FC236}">
                <a16:creationId xmlns:a16="http://schemas.microsoft.com/office/drawing/2014/main" id="{00000000-0008-0000-0C00-000050000000}"/>
              </a:ext>
            </a:extLst>
          </xdr:cNvPr>
          <xdr:cNvCxnSpPr/>
        </xdr:nvCxnSpPr>
        <xdr:spPr>
          <a:xfrm>
            <a:off x="1480705" y="2935433"/>
            <a:ext cx="398318" cy="0"/>
          </a:xfrm>
          <a:prstGeom prst="line">
            <a:avLst/>
          </a:prstGeom>
          <a:ln w="60325">
            <a:solidFill>
              <a:schemeClr val="accent2">
                <a:lumMod val="7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oneCellAnchor>
    <xdr:from>
      <xdr:col>112</xdr:col>
      <xdr:colOff>219075</xdr:colOff>
      <xdr:row>3</xdr:row>
      <xdr:rowOff>57150</xdr:rowOff>
    </xdr:from>
    <xdr:ext cx="1913659" cy="1847850"/>
    <xdr:pic>
      <xdr:nvPicPr>
        <xdr:cNvPr id="81" name="Picture 80">
          <a:extLst>
            <a:ext uri="{FF2B5EF4-FFF2-40B4-BE49-F238E27FC236}">
              <a16:creationId xmlns:a16="http://schemas.microsoft.com/office/drawing/2014/main" id="{00000000-0008-0000-0C00-00005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470" r="9117" b="7165"/>
        <a:stretch/>
      </xdr:blipFill>
      <xdr:spPr>
        <a:xfrm>
          <a:off x="12973050" y="771525"/>
          <a:ext cx="1913659" cy="1847850"/>
        </a:xfrm>
        <a:prstGeom prst="rect">
          <a:avLst/>
        </a:prstGeom>
      </xdr:spPr>
    </xdr:pic>
    <xdr:clientData/>
  </xdr:oneCellAnchor>
  <xdr:twoCellAnchor>
    <xdr:from>
      <xdr:col>116</xdr:col>
      <xdr:colOff>209551</xdr:colOff>
      <xdr:row>2</xdr:row>
      <xdr:rowOff>65485</xdr:rowOff>
    </xdr:from>
    <xdr:to>
      <xdr:col>116</xdr:col>
      <xdr:colOff>419100</xdr:colOff>
      <xdr:row>33</xdr:row>
      <xdr:rowOff>173182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0000000-0008-0000-0C00-000052000000}"/>
            </a:ext>
          </a:extLst>
        </xdr:cNvPr>
        <xdr:cNvSpPr/>
      </xdr:nvSpPr>
      <xdr:spPr>
        <a:xfrm>
          <a:off x="13554076" y="541735"/>
          <a:ext cx="209549" cy="6079872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117</xdr:col>
      <xdr:colOff>6927</xdr:colOff>
      <xdr:row>34</xdr:row>
      <xdr:rowOff>0</xdr:rowOff>
    </xdr:from>
    <xdr:to>
      <xdr:col>118</xdr:col>
      <xdr:colOff>117529</xdr:colOff>
      <xdr:row>35</xdr:row>
      <xdr:rowOff>185024</xdr:rowOff>
    </xdr:to>
    <xdr:grpSp>
      <xdr:nvGrpSpPr>
        <xdr:cNvPr id="83" name="Group 82">
          <a:extLst>
            <a:ext uri="{FF2B5EF4-FFF2-40B4-BE49-F238E27FC236}">
              <a16:creationId xmlns:a16="http://schemas.microsoft.com/office/drawing/2014/main" id="{00000000-0008-0000-0C00-000053000000}"/>
            </a:ext>
          </a:extLst>
        </xdr:cNvPr>
        <xdr:cNvGrpSpPr/>
      </xdr:nvGrpSpPr>
      <xdr:grpSpPr>
        <a:xfrm flipH="1">
          <a:off x="44855837" y="6512821"/>
          <a:ext cx="249000" cy="372267"/>
          <a:chOff x="2332671" y="6377940"/>
          <a:chExt cx="228366" cy="375524"/>
        </a:xfrm>
      </xdr:grpSpPr>
      <xdr:grpSp>
        <xdr:nvGrpSpPr>
          <xdr:cNvPr id="84" name="Group 83">
            <a:extLst>
              <a:ext uri="{FF2B5EF4-FFF2-40B4-BE49-F238E27FC236}">
                <a16:creationId xmlns:a16="http://schemas.microsoft.com/office/drawing/2014/main" id="{00000000-0008-0000-0C00-000054000000}"/>
              </a:ext>
            </a:extLst>
          </xdr:cNvPr>
          <xdr:cNvGrpSpPr/>
        </xdr:nvGrpSpPr>
        <xdr:grpSpPr>
          <a:xfrm>
            <a:off x="2336244" y="6377940"/>
            <a:ext cx="224793" cy="219551"/>
            <a:chOff x="2333862" y="6389847"/>
            <a:chExt cx="224793" cy="219551"/>
          </a:xfrm>
        </xdr:grpSpPr>
        <xdr:sp macro="" textlink="">
          <xdr:nvSpPr>
            <xdr:cNvPr id="89" name="Isosceles Triangle 88">
              <a:extLst>
                <a:ext uri="{FF2B5EF4-FFF2-40B4-BE49-F238E27FC236}">
                  <a16:creationId xmlns:a16="http://schemas.microsoft.com/office/drawing/2014/main" id="{00000000-0008-0000-0C00-000059000000}"/>
                </a:ext>
              </a:extLst>
            </xdr:cNvPr>
            <xdr:cNvSpPr/>
          </xdr:nvSpPr>
          <xdr:spPr>
            <a:xfrm rot="16200000">
              <a:off x="2418042" y="6302096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90" name="Isosceles Triangle 89">
              <a:extLst>
                <a:ext uri="{FF2B5EF4-FFF2-40B4-BE49-F238E27FC236}">
                  <a16:creationId xmlns:a16="http://schemas.microsoft.com/office/drawing/2014/main" id="{00000000-0008-0000-0C00-00005A000000}"/>
                </a:ext>
              </a:extLst>
            </xdr:cNvPr>
            <xdr:cNvSpPr/>
          </xdr:nvSpPr>
          <xdr:spPr>
            <a:xfrm rot="16200000">
              <a:off x="2421614" y="6359247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91" name="Isosceles Triangle 90">
              <a:extLst>
                <a:ext uri="{FF2B5EF4-FFF2-40B4-BE49-F238E27FC236}">
                  <a16:creationId xmlns:a16="http://schemas.microsoft.com/office/drawing/2014/main" id="{00000000-0008-0000-0C00-00005B000000}"/>
                </a:ext>
              </a:extLst>
            </xdr:cNvPr>
            <xdr:cNvSpPr/>
          </xdr:nvSpPr>
          <xdr:spPr>
            <a:xfrm rot="16200000">
              <a:off x="2421613" y="6418777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92" name="Isosceles Triangle 91">
              <a:extLst>
                <a:ext uri="{FF2B5EF4-FFF2-40B4-BE49-F238E27FC236}">
                  <a16:creationId xmlns:a16="http://schemas.microsoft.com/office/drawing/2014/main" id="{00000000-0008-0000-0C00-00005C000000}"/>
                </a:ext>
              </a:extLst>
            </xdr:cNvPr>
            <xdr:cNvSpPr/>
          </xdr:nvSpPr>
          <xdr:spPr>
            <a:xfrm rot="16200000">
              <a:off x="2419232" y="6475928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85" name="Group 84">
            <a:extLst>
              <a:ext uri="{FF2B5EF4-FFF2-40B4-BE49-F238E27FC236}">
                <a16:creationId xmlns:a16="http://schemas.microsoft.com/office/drawing/2014/main" id="{00000000-0008-0000-0C00-000055000000}"/>
              </a:ext>
            </a:extLst>
          </xdr:cNvPr>
          <xdr:cNvGrpSpPr/>
        </xdr:nvGrpSpPr>
        <xdr:grpSpPr>
          <a:xfrm>
            <a:off x="2332671" y="6600589"/>
            <a:ext cx="223603" cy="152875"/>
            <a:chOff x="2332671" y="6600589"/>
            <a:chExt cx="223603" cy="152875"/>
          </a:xfrm>
        </xdr:grpSpPr>
        <xdr:sp macro="" textlink="">
          <xdr:nvSpPr>
            <xdr:cNvPr id="86" name="Isosceles Triangle 85">
              <a:extLst>
                <a:ext uri="{FF2B5EF4-FFF2-40B4-BE49-F238E27FC236}">
                  <a16:creationId xmlns:a16="http://schemas.microsoft.com/office/drawing/2014/main" id="{00000000-0008-0000-0C00-000056000000}"/>
                </a:ext>
              </a:extLst>
            </xdr:cNvPr>
            <xdr:cNvSpPr/>
          </xdr:nvSpPr>
          <xdr:spPr>
            <a:xfrm rot="16200000">
              <a:off x="2422804" y="6568797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87" name="Isosceles Triangle 86">
              <a:extLst>
                <a:ext uri="{FF2B5EF4-FFF2-40B4-BE49-F238E27FC236}">
                  <a16:creationId xmlns:a16="http://schemas.microsoft.com/office/drawing/2014/main" id="{00000000-0008-0000-0C00-000057000000}"/>
                </a:ext>
              </a:extLst>
            </xdr:cNvPr>
            <xdr:cNvSpPr/>
          </xdr:nvSpPr>
          <xdr:spPr>
            <a:xfrm rot="16200000">
              <a:off x="2420423" y="6619994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88" name="Isosceles Triangle 87">
              <a:extLst>
                <a:ext uri="{FF2B5EF4-FFF2-40B4-BE49-F238E27FC236}">
                  <a16:creationId xmlns:a16="http://schemas.microsoft.com/office/drawing/2014/main" id="{00000000-0008-0000-0C00-000058000000}"/>
                </a:ext>
              </a:extLst>
            </xdr:cNvPr>
            <xdr:cNvSpPr/>
          </xdr:nvSpPr>
          <xdr:spPr>
            <a:xfrm rot="16200000">
              <a:off x="2420422" y="6512838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</xdr:grpSp>
    <xdr:clientData/>
  </xdr:twoCellAnchor>
  <xdr:twoCellAnchor>
    <xdr:from>
      <xdr:col>114</xdr:col>
      <xdr:colOff>8660</xdr:colOff>
      <xdr:row>34</xdr:row>
      <xdr:rowOff>8659</xdr:rowOff>
    </xdr:from>
    <xdr:to>
      <xdr:col>116</xdr:col>
      <xdr:colOff>4962</xdr:colOff>
      <xdr:row>36</xdr:row>
      <xdr:rowOff>3183</xdr:rowOff>
    </xdr:to>
    <xdr:grpSp>
      <xdr:nvGrpSpPr>
        <xdr:cNvPr id="93" name="Group 92">
          <a:extLst>
            <a:ext uri="{FF2B5EF4-FFF2-40B4-BE49-F238E27FC236}">
              <a16:creationId xmlns:a16="http://schemas.microsoft.com/office/drawing/2014/main" id="{00000000-0008-0000-0C00-00005D000000}"/>
            </a:ext>
          </a:extLst>
        </xdr:cNvPr>
        <xdr:cNvGrpSpPr/>
      </xdr:nvGrpSpPr>
      <xdr:grpSpPr>
        <a:xfrm>
          <a:off x="43929493" y="6521480"/>
          <a:ext cx="264956" cy="369011"/>
          <a:chOff x="2332671" y="6377940"/>
          <a:chExt cx="228366" cy="375524"/>
        </a:xfrm>
      </xdr:grpSpPr>
      <xdr:grpSp>
        <xdr:nvGrpSpPr>
          <xdr:cNvPr id="94" name="Group 93">
            <a:extLst>
              <a:ext uri="{FF2B5EF4-FFF2-40B4-BE49-F238E27FC236}">
                <a16:creationId xmlns:a16="http://schemas.microsoft.com/office/drawing/2014/main" id="{00000000-0008-0000-0C00-00005E000000}"/>
              </a:ext>
            </a:extLst>
          </xdr:cNvPr>
          <xdr:cNvGrpSpPr/>
        </xdr:nvGrpSpPr>
        <xdr:grpSpPr>
          <a:xfrm>
            <a:off x="2336244" y="6377940"/>
            <a:ext cx="224793" cy="219551"/>
            <a:chOff x="2333862" y="6389847"/>
            <a:chExt cx="224793" cy="219551"/>
          </a:xfrm>
        </xdr:grpSpPr>
        <xdr:sp macro="" textlink="">
          <xdr:nvSpPr>
            <xdr:cNvPr id="99" name="Isosceles Triangle 98">
              <a:extLst>
                <a:ext uri="{FF2B5EF4-FFF2-40B4-BE49-F238E27FC236}">
                  <a16:creationId xmlns:a16="http://schemas.microsoft.com/office/drawing/2014/main" id="{00000000-0008-0000-0C00-000063000000}"/>
                </a:ext>
              </a:extLst>
            </xdr:cNvPr>
            <xdr:cNvSpPr/>
          </xdr:nvSpPr>
          <xdr:spPr>
            <a:xfrm rot="16200000">
              <a:off x="2418042" y="6302096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00" name="Isosceles Triangle 99">
              <a:extLst>
                <a:ext uri="{FF2B5EF4-FFF2-40B4-BE49-F238E27FC236}">
                  <a16:creationId xmlns:a16="http://schemas.microsoft.com/office/drawing/2014/main" id="{00000000-0008-0000-0C00-000064000000}"/>
                </a:ext>
              </a:extLst>
            </xdr:cNvPr>
            <xdr:cNvSpPr/>
          </xdr:nvSpPr>
          <xdr:spPr>
            <a:xfrm rot="16200000">
              <a:off x="2421614" y="6359247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01" name="Isosceles Triangle 100">
              <a:extLst>
                <a:ext uri="{FF2B5EF4-FFF2-40B4-BE49-F238E27FC236}">
                  <a16:creationId xmlns:a16="http://schemas.microsoft.com/office/drawing/2014/main" id="{00000000-0008-0000-0C00-000065000000}"/>
                </a:ext>
              </a:extLst>
            </xdr:cNvPr>
            <xdr:cNvSpPr/>
          </xdr:nvSpPr>
          <xdr:spPr>
            <a:xfrm rot="16200000">
              <a:off x="2421613" y="6418777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02" name="Isosceles Triangle 101">
              <a:extLst>
                <a:ext uri="{FF2B5EF4-FFF2-40B4-BE49-F238E27FC236}">
                  <a16:creationId xmlns:a16="http://schemas.microsoft.com/office/drawing/2014/main" id="{00000000-0008-0000-0C00-000066000000}"/>
                </a:ext>
              </a:extLst>
            </xdr:cNvPr>
            <xdr:cNvSpPr/>
          </xdr:nvSpPr>
          <xdr:spPr>
            <a:xfrm rot="16200000">
              <a:off x="2419232" y="6475928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95" name="Group 94">
            <a:extLst>
              <a:ext uri="{FF2B5EF4-FFF2-40B4-BE49-F238E27FC236}">
                <a16:creationId xmlns:a16="http://schemas.microsoft.com/office/drawing/2014/main" id="{00000000-0008-0000-0C00-00005F000000}"/>
              </a:ext>
            </a:extLst>
          </xdr:cNvPr>
          <xdr:cNvGrpSpPr/>
        </xdr:nvGrpSpPr>
        <xdr:grpSpPr>
          <a:xfrm>
            <a:off x="2332671" y="6600589"/>
            <a:ext cx="223603" cy="152875"/>
            <a:chOff x="2332671" y="6600589"/>
            <a:chExt cx="223603" cy="152875"/>
          </a:xfrm>
        </xdr:grpSpPr>
        <xdr:sp macro="" textlink="">
          <xdr:nvSpPr>
            <xdr:cNvPr id="96" name="Isosceles Triangle 95">
              <a:extLst>
                <a:ext uri="{FF2B5EF4-FFF2-40B4-BE49-F238E27FC236}">
                  <a16:creationId xmlns:a16="http://schemas.microsoft.com/office/drawing/2014/main" id="{00000000-0008-0000-0C00-000060000000}"/>
                </a:ext>
              </a:extLst>
            </xdr:cNvPr>
            <xdr:cNvSpPr/>
          </xdr:nvSpPr>
          <xdr:spPr>
            <a:xfrm rot="16200000">
              <a:off x="2422804" y="6568797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97" name="Isosceles Triangle 96">
              <a:extLst>
                <a:ext uri="{FF2B5EF4-FFF2-40B4-BE49-F238E27FC236}">
                  <a16:creationId xmlns:a16="http://schemas.microsoft.com/office/drawing/2014/main" id="{00000000-0008-0000-0C00-000061000000}"/>
                </a:ext>
              </a:extLst>
            </xdr:cNvPr>
            <xdr:cNvSpPr/>
          </xdr:nvSpPr>
          <xdr:spPr>
            <a:xfrm rot="16200000">
              <a:off x="2420423" y="6619994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98" name="Isosceles Triangle 97">
              <a:extLst>
                <a:ext uri="{FF2B5EF4-FFF2-40B4-BE49-F238E27FC236}">
                  <a16:creationId xmlns:a16="http://schemas.microsoft.com/office/drawing/2014/main" id="{00000000-0008-0000-0C00-000062000000}"/>
                </a:ext>
              </a:extLst>
            </xdr:cNvPr>
            <xdr:cNvSpPr/>
          </xdr:nvSpPr>
          <xdr:spPr>
            <a:xfrm rot="16200000">
              <a:off x="2420422" y="6512838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</xdr:grpSp>
    <xdr:clientData/>
  </xdr:twoCellAnchor>
  <xdr:twoCellAnchor>
    <xdr:from>
      <xdr:col>119</xdr:col>
      <xdr:colOff>0</xdr:colOff>
      <xdr:row>13</xdr:row>
      <xdr:rowOff>8659</xdr:rowOff>
    </xdr:from>
    <xdr:to>
      <xdr:col>121</xdr:col>
      <xdr:colOff>285749</xdr:colOff>
      <xdr:row>16</xdr:row>
      <xdr:rowOff>25977</xdr:rowOff>
    </xdr:to>
    <xdr:grpSp>
      <xdr:nvGrpSpPr>
        <xdr:cNvPr id="103" name="Group 102">
          <a:extLst>
            <a:ext uri="{FF2B5EF4-FFF2-40B4-BE49-F238E27FC236}">
              <a16:creationId xmlns:a16="http://schemas.microsoft.com/office/drawing/2014/main" id="{00000000-0008-0000-0C00-000067000000}"/>
            </a:ext>
          </a:extLst>
        </xdr:cNvPr>
        <xdr:cNvGrpSpPr/>
      </xdr:nvGrpSpPr>
      <xdr:grpSpPr>
        <a:xfrm>
          <a:off x="45125705" y="2589364"/>
          <a:ext cx="635813" cy="579049"/>
          <a:chOff x="1480705" y="2363932"/>
          <a:chExt cx="623454" cy="588818"/>
        </a:xfrm>
      </xdr:grpSpPr>
      <xdr:pic>
        <xdr:nvPicPr>
          <xdr:cNvPr id="104" name="Picture 103" descr="Image result for pressure gauge">
            <a:extLst>
              <a:ext uri="{FF2B5EF4-FFF2-40B4-BE49-F238E27FC236}">
                <a16:creationId xmlns:a16="http://schemas.microsoft.com/office/drawing/2014/main" id="{00000000-0008-0000-0C00-000068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2180" t="3639" r="11998" b="3578"/>
          <a:stretch/>
        </xdr:blipFill>
        <xdr:spPr bwMode="auto">
          <a:xfrm>
            <a:off x="1625023" y="2363932"/>
            <a:ext cx="479136" cy="58881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cxnSp macro="">
        <xdr:nvCxnSpPr>
          <xdr:cNvPr id="105" name="Straight Connector 104">
            <a:extLst>
              <a:ext uri="{FF2B5EF4-FFF2-40B4-BE49-F238E27FC236}">
                <a16:creationId xmlns:a16="http://schemas.microsoft.com/office/drawing/2014/main" id="{00000000-0008-0000-0C00-000069000000}"/>
              </a:ext>
            </a:extLst>
          </xdr:cNvPr>
          <xdr:cNvCxnSpPr/>
        </xdr:nvCxnSpPr>
        <xdr:spPr>
          <a:xfrm>
            <a:off x="1480705" y="2935433"/>
            <a:ext cx="398318" cy="0"/>
          </a:xfrm>
          <a:prstGeom prst="line">
            <a:avLst/>
          </a:prstGeom>
          <a:ln w="60325">
            <a:solidFill>
              <a:schemeClr val="accent2">
                <a:lumMod val="7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oneCellAnchor>
    <xdr:from>
      <xdr:col>159</xdr:col>
      <xdr:colOff>219075</xdr:colOff>
      <xdr:row>3</xdr:row>
      <xdr:rowOff>57150</xdr:rowOff>
    </xdr:from>
    <xdr:ext cx="1913659" cy="1847850"/>
    <xdr:pic>
      <xdr:nvPicPr>
        <xdr:cNvPr id="106" name="Picture 105">
          <a:extLst>
            <a:ext uri="{FF2B5EF4-FFF2-40B4-BE49-F238E27FC236}">
              <a16:creationId xmlns:a16="http://schemas.microsoft.com/office/drawing/2014/main" id="{00000000-0008-0000-0C00-00006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470" r="9117" b="7165"/>
        <a:stretch/>
      </xdr:blipFill>
      <xdr:spPr>
        <a:xfrm>
          <a:off x="22098000" y="771525"/>
          <a:ext cx="1913659" cy="1847850"/>
        </a:xfrm>
        <a:prstGeom prst="rect">
          <a:avLst/>
        </a:prstGeom>
      </xdr:spPr>
    </xdr:pic>
    <xdr:clientData/>
  </xdr:oneCellAnchor>
  <xdr:oneCellAnchor>
    <xdr:from>
      <xdr:col>163</xdr:col>
      <xdr:colOff>28575</xdr:colOff>
      <xdr:row>34</xdr:row>
      <xdr:rowOff>171448</xdr:rowOff>
    </xdr:from>
    <xdr:ext cx="571499" cy="752471"/>
    <xdr:pic>
      <xdr:nvPicPr>
        <xdr:cNvPr id="107" name="Picture 106" descr="Image result for drilling bit">
          <a:extLst>
            <a:ext uri="{FF2B5EF4-FFF2-40B4-BE49-F238E27FC236}">
              <a16:creationId xmlns:a16="http://schemas.microsoft.com/office/drawing/2014/main" id="{00000000-0008-0000-0C00-00006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00" r="10800" b="3733"/>
        <a:stretch/>
      </xdr:blipFill>
      <xdr:spPr bwMode="auto">
        <a:xfrm flipV="1">
          <a:off x="22498050" y="6810373"/>
          <a:ext cx="571499" cy="752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163</xdr:col>
      <xdr:colOff>152401</xdr:colOff>
      <xdr:row>32</xdr:row>
      <xdr:rowOff>19049</xdr:rowOff>
    </xdr:from>
    <xdr:to>
      <xdr:col>163</xdr:col>
      <xdr:colOff>466725</xdr:colOff>
      <xdr:row>35</xdr:row>
      <xdr:rowOff>160734</xdr:rowOff>
    </xdr:to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00000000-0008-0000-0C00-00006C000000}"/>
            </a:ext>
          </a:extLst>
        </xdr:cNvPr>
        <xdr:cNvSpPr/>
      </xdr:nvSpPr>
      <xdr:spPr>
        <a:xfrm>
          <a:off x="22621876" y="6276974"/>
          <a:ext cx="314324" cy="713185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163</xdr:col>
      <xdr:colOff>209551</xdr:colOff>
      <xdr:row>2</xdr:row>
      <xdr:rowOff>65485</xdr:rowOff>
    </xdr:from>
    <xdr:to>
      <xdr:col>163</xdr:col>
      <xdr:colOff>419100</xdr:colOff>
      <xdr:row>32</xdr:row>
      <xdr:rowOff>14288</xdr:rowOff>
    </xdr:to>
    <xdr:sp macro="" textlink="">
      <xdr:nvSpPr>
        <xdr:cNvPr id="109" name="Rectangle 108">
          <a:extLst>
            <a:ext uri="{FF2B5EF4-FFF2-40B4-BE49-F238E27FC236}">
              <a16:creationId xmlns:a16="http://schemas.microsoft.com/office/drawing/2014/main" id="{00000000-0008-0000-0C00-00006D000000}"/>
            </a:ext>
          </a:extLst>
        </xdr:cNvPr>
        <xdr:cNvSpPr/>
      </xdr:nvSpPr>
      <xdr:spPr>
        <a:xfrm>
          <a:off x="22679026" y="541735"/>
          <a:ext cx="209549" cy="5730478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166</xdr:col>
      <xdr:colOff>5196</xdr:colOff>
      <xdr:row>13</xdr:row>
      <xdr:rowOff>5195</xdr:rowOff>
    </xdr:from>
    <xdr:to>
      <xdr:col>168</xdr:col>
      <xdr:colOff>290945</xdr:colOff>
      <xdr:row>16</xdr:row>
      <xdr:rowOff>22513</xdr:rowOff>
    </xdr:to>
    <xdr:grpSp>
      <xdr:nvGrpSpPr>
        <xdr:cNvPr id="110" name="Group 109">
          <a:extLst>
            <a:ext uri="{FF2B5EF4-FFF2-40B4-BE49-F238E27FC236}">
              <a16:creationId xmlns:a16="http://schemas.microsoft.com/office/drawing/2014/main" id="{00000000-0008-0000-0C00-00006E000000}"/>
            </a:ext>
          </a:extLst>
        </xdr:cNvPr>
        <xdr:cNvGrpSpPr/>
      </xdr:nvGrpSpPr>
      <xdr:grpSpPr>
        <a:xfrm>
          <a:off x="59467247" y="2585900"/>
          <a:ext cx="635813" cy="579049"/>
          <a:chOff x="1480705" y="2363932"/>
          <a:chExt cx="623454" cy="588818"/>
        </a:xfrm>
      </xdr:grpSpPr>
      <xdr:pic>
        <xdr:nvPicPr>
          <xdr:cNvPr id="111" name="Picture 110" descr="Image result for pressure gauge">
            <a:extLst>
              <a:ext uri="{FF2B5EF4-FFF2-40B4-BE49-F238E27FC236}">
                <a16:creationId xmlns:a16="http://schemas.microsoft.com/office/drawing/2014/main" id="{00000000-0008-0000-0C00-00006F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2180" t="3639" r="11998" b="3578"/>
          <a:stretch/>
        </xdr:blipFill>
        <xdr:spPr bwMode="auto">
          <a:xfrm>
            <a:off x="1625023" y="2363932"/>
            <a:ext cx="479136" cy="58881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cxnSp macro="">
        <xdr:nvCxnSpPr>
          <xdr:cNvPr id="112" name="Straight Connector 111">
            <a:extLst>
              <a:ext uri="{FF2B5EF4-FFF2-40B4-BE49-F238E27FC236}">
                <a16:creationId xmlns:a16="http://schemas.microsoft.com/office/drawing/2014/main" id="{00000000-0008-0000-0C00-000070000000}"/>
              </a:ext>
            </a:extLst>
          </xdr:cNvPr>
          <xdr:cNvCxnSpPr/>
        </xdr:nvCxnSpPr>
        <xdr:spPr>
          <a:xfrm>
            <a:off x="1480705" y="2935433"/>
            <a:ext cx="398318" cy="0"/>
          </a:xfrm>
          <a:prstGeom prst="line">
            <a:avLst/>
          </a:prstGeom>
          <a:ln w="60325">
            <a:solidFill>
              <a:schemeClr val="accent2">
                <a:lumMod val="7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oneCellAnchor>
    <xdr:from>
      <xdr:col>169</xdr:col>
      <xdr:colOff>219075</xdr:colOff>
      <xdr:row>3</xdr:row>
      <xdr:rowOff>57150</xdr:rowOff>
    </xdr:from>
    <xdr:ext cx="1913659" cy="1847850"/>
    <xdr:pic>
      <xdr:nvPicPr>
        <xdr:cNvPr id="113" name="Picture 112">
          <a:extLst>
            <a:ext uri="{FF2B5EF4-FFF2-40B4-BE49-F238E27FC236}">
              <a16:creationId xmlns:a16="http://schemas.microsoft.com/office/drawing/2014/main" id="{00000000-0008-0000-0C00-00007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470" r="9117" b="7165"/>
        <a:stretch/>
      </xdr:blipFill>
      <xdr:spPr>
        <a:xfrm>
          <a:off x="24526875" y="771525"/>
          <a:ext cx="1913659" cy="1847850"/>
        </a:xfrm>
        <a:prstGeom prst="rect">
          <a:avLst/>
        </a:prstGeom>
      </xdr:spPr>
    </xdr:pic>
    <xdr:clientData/>
  </xdr:oneCellAnchor>
  <xdr:oneCellAnchor>
    <xdr:from>
      <xdr:col>173</xdr:col>
      <xdr:colOff>28575</xdr:colOff>
      <xdr:row>34</xdr:row>
      <xdr:rowOff>171448</xdr:rowOff>
    </xdr:from>
    <xdr:ext cx="571499" cy="752471"/>
    <xdr:pic>
      <xdr:nvPicPr>
        <xdr:cNvPr id="114" name="Picture 113" descr="Image result for drilling bit">
          <a:extLst>
            <a:ext uri="{FF2B5EF4-FFF2-40B4-BE49-F238E27FC236}">
              <a16:creationId xmlns:a16="http://schemas.microsoft.com/office/drawing/2014/main" id="{00000000-0008-0000-0C00-00007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00" r="10800" b="3733"/>
        <a:stretch/>
      </xdr:blipFill>
      <xdr:spPr bwMode="auto">
        <a:xfrm flipV="1">
          <a:off x="24926925" y="6810373"/>
          <a:ext cx="571499" cy="752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173</xdr:col>
      <xdr:colOff>152401</xdr:colOff>
      <xdr:row>32</xdr:row>
      <xdr:rowOff>19049</xdr:rowOff>
    </xdr:from>
    <xdr:to>
      <xdr:col>173</xdr:col>
      <xdr:colOff>466725</xdr:colOff>
      <xdr:row>35</xdr:row>
      <xdr:rowOff>160734</xdr:rowOff>
    </xdr:to>
    <xdr:sp macro="" textlink="">
      <xdr:nvSpPr>
        <xdr:cNvPr id="115" name="Rectangle 114">
          <a:extLst>
            <a:ext uri="{FF2B5EF4-FFF2-40B4-BE49-F238E27FC236}">
              <a16:creationId xmlns:a16="http://schemas.microsoft.com/office/drawing/2014/main" id="{00000000-0008-0000-0C00-000073000000}"/>
            </a:ext>
          </a:extLst>
        </xdr:cNvPr>
        <xdr:cNvSpPr/>
      </xdr:nvSpPr>
      <xdr:spPr>
        <a:xfrm>
          <a:off x="25050751" y="6276974"/>
          <a:ext cx="314324" cy="713185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173</xdr:col>
      <xdr:colOff>209551</xdr:colOff>
      <xdr:row>2</xdr:row>
      <xdr:rowOff>65485</xdr:rowOff>
    </xdr:from>
    <xdr:to>
      <xdr:col>173</xdr:col>
      <xdr:colOff>419100</xdr:colOff>
      <xdr:row>32</xdr:row>
      <xdr:rowOff>14288</xdr:rowOff>
    </xdr:to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00000000-0008-0000-0C00-000074000000}"/>
            </a:ext>
          </a:extLst>
        </xdr:cNvPr>
        <xdr:cNvSpPr/>
      </xdr:nvSpPr>
      <xdr:spPr>
        <a:xfrm>
          <a:off x="25107901" y="541735"/>
          <a:ext cx="209549" cy="5730478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176</xdr:col>
      <xdr:colOff>5196</xdr:colOff>
      <xdr:row>13</xdr:row>
      <xdr:rowOff>5195</xdr:rowOff>
    </xdr:from>
    <xdr:to>
      <xdr:col>178</xdr:col>
      <xdr:colOff>290945</xdr:colOff>
      <xdr:row>16</xdr:row>
      <xdr:rowOff>22513</xdr:rowOff>
    </xdr:to>
    <xdr:grpSp>
      <xdr:nvGrpSpPr>
        <xdr:cNvPr id="117" name="Group 116">
          <a:extLst>
            <a:ext uri="{FF2B5EF4-FFF2-40B4-BE49-F238E27FC236}">
              <a16:creationId xmlns:a16="http://schemas.microsoft.com/office/drawing/2014/main" id="{00000000-0008-0000-0C00-000075000000}"/>
            </a:ext>
          </a:extLst>
        </xdr:cNvPr>
        <xdr:cNvGrpSpPr/>
      </xdr:nvGrpSpPr>
      <xdr:grpSpPr>
        <a:xfrm>
          <a:off x="61982824" y="2585900"/>
          <a:ext cx="635813" cy="579049"/>
          <a:chOff x="1480705" y="2363932"/>
          <a:chExt cx="623454" cy="588818"/>
        </a:xfrm>
      </xdr:grpSpPr>
      <xdr:pic>
        <xdr:nvPicPr>
          <xdr:cNvPr id="118" name="Picture 117" descr="Image result for pressure gauge">
            <a:extLst>
              <a:ext uri="{FF2B5EF4-FFF2-40B4-BE49-F238E27FC236}">
                <a16:creationId xmlns:a16="http://schemas.microsoft.com/office/drawing/2014/main" id="{00000000-0008-0000-0C00-000076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2180" t="3639" r="11998" b="3578"/>
          <a:stretch/>
        </xdr:blipFill>
        <xdr:spPr bwMode="auto">
          <a:xfrm>
            <a:off x="1625023" y="2363932"/>
            <a:ext cx="479136" cy="58881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cxnSp macro="">
        <xdr:nvCxnSpPr>
          <xdr:cNvPr id="119" name="Straight Connector 118">
            <a:extLst>
              <a:ext uri="{FF2B5EF4-FFF2-40B4-BE49-F238E27FC236}">
                <a16:creationId xmlns:a16="http://schemas.microsoft.com/office/drawing/2014/main" id="{00000000-0008-0000-0C00-000077000000}"/>
              </a:ext>
            </a:extLst>
          </xdr:cNvPr>
          <xdr:cNvCxnSpPr/>
        </xdr:nvCxnSpPr>
        <xdr:spPr>
          <a:xfrm>
            <a:off x="1480705" y="2935433"/>
            <a:ext cx="398318" cy="0"/>
          </a:xfrm>
          <a:prstGeom prst="line">
            <a:avLst/>
          </a:prstGeom>
          <a:ln w="60325">
            <a:solidFill>
              <a:schemeClr val="accent2">
                <a:lumMod val="7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oneCellAnchor>
    <xdr:from>
      <xdr:col>82</xdr:col>
      <xdr:colOff>219075</xdr:colOff>
      <xdr:row>3</xdr:row>
      <xdr:rowOff>57150</xdr:rowOff>
    </xdr:from>
    <xdr:ext cx="1932214" cy="1870528"/>
    <xdr:pic>
      <xdr:nvPicPr>
        <xdr:cNvPr id="120" name="Picture 119">
          <a:extLst>
            <a:ext uri="{FF2B5EF4-FFF2-40B4-BE49-F238E27FC236}">
              <a16:creationId xmlns:a16="http://schemas.microsoft.com/office/drawing/2014/main" id="{00000000-0008-0000-0C00-00007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470" r="9117" b="7165"/>
        <a:stretch/>
      </xdr:blipFill>
      <xdr:spPr>
        <a:xfrm>
          <a:off x="14160211" y="784514"/>
          <a:ext cx="1932214" cy="1870528"/>
        </a:xfrm>
        <a:prstGeom prst="rect">
          <a:avLst/>
        </a:prstGeom>
      </xdr:spPr>
    </xdr:pic>
    <xdr:clientData/>
  </xdr:oneCellAnchor>
  <xdr:oneCellAnchor>
    <xdr:from>
      <xdr:col>86</xdr:col>
      <xdr:colOff>28575</xdr:colOff>
      <xdr:row>44</xdr:row>
      <xdr:rowOff>160109</xdr:rowOff>
    </xdr:from>
    <xdr:ext cx="571499" cy="761542"/>
    <xdr:pic>
      <xdr:nvPicPr>
        <xdr:cNvPr id="121" name="Picture 120" descr="Image result for drilling bit">
          <a:extLst>
            <a:ext uri="{FF2B5EF4-FFF2-40B4-BE49-F238E27FC236}">
              <a16:creationId xmlns:a16="http://schemas.microsoft.com/office/drawing/2014/main" id="{00000000-0008-0000-0C00-00007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00" r="10800" b="3733"/>
        <a:stretch/>
      </xdr:blipFill>
      <xdr:spPr bwMode="auto">
        <a:xfrm flipV="1">
          <a:off x="14558530" y="8758586"/>
          <a:ext cx="571499" cy="761542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</xdr:pic>
    <xdr:clientData/>
  </xdr:oneCellAnchor>
  <xdr:twoCellAnchor>
    <xdr:from>
      <xdr:col>86</xdr:col>
      <xdr:colOff>152401</xdr:colOff>
      <xdr:row>42</xdr:row>
      <xdr:rowOff>7710</xdr:rowOff>
    </xdr:from>
    <xdr:to>
      <xdr:col>86</xdr:col>
      <xdr:colOff>466725</xdr:colOff>
      <xdr:row>45</xdr:row>
      <xdr:rowOff>149395</xdr:rowOff>
    </xdr:to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00000000-0008-0000-0C00-00007A000000}"/>
            </a:ext>
          </a:extLst>
        </xdr:cNvPr>
        <xdr:cNvSpPr/>
      </xdr:nvSpPr>
      <xdr:spPr>
        <a:xfrm>
          <a:off x="14682356" y="8207869"/>
          <a:ext cx="314324" cy="730503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86</xdr:col>
      <xdr:colOff>209552</xdr:colOff>
      <xdr:row>2</xdr:row>
      <xdr:rowOff>65485</xdr:rowOff>
    </xdr:from>
    <xdr:to>
      <xdr:col>86</xdr:col>
      <xdr:colOff>396876</xdr:colOff>
      <xdr:row>42</xdr:row>
      <xdr:rowOff>0</xdr:rowOff>
    </xdr:to>
    <xdr:sp macro="" textlink="">
      <xdr:nvSpPr>
        <xdr:cNvPr id="123" name="Rectangle 122">
          <a:extLst>
            <a:ext uri="{FF2B5EF4-FFF2-40B4-BE49-F238E27FC236}">
              <a16:creationId xmlns:a16="http://schemas.microsoft.com/office/drawing/2014/main" id="{00000000-0008-0000-0C00-00007B000000}"/>
            </a:ext>
          </a:extLst>
        </xdr:cNvPr>
        <xdr:cNvSpPr/>
      </xdr:nvSpPr>
      <xdr:spPr>
        <a:xfrm>
          <a:off x="14739507" y="550394"/>
          <a:ext cx="187324" cy="7649765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89</xdr:col>
      <xdr:colOff>1</xdr:colOff>
      <xdr:row>12</xdr:row>
      <xdr:rowOff>181841</xdr:rowOff>
    </xdr:from>
    <xdr:to>
      <xdr:col>91</xdr:col>
      <xdr:colOff>285750</xdr:colOff>
      <xdr:row>16</xdr:row>
      <xdr:rowOff>8659</xdr:rowOff>
    </xdr:to>
    <xdr:grpSp>
      <xdr:nvGrpSpPr>
        <xdr:cNvPr id="124" name="Group 123">
          <a:extLst>
            <a:ext uri="{FF2B5EF4-FFF2-40B4-BE49-F238E27FC236}">
              <a16:creationId xmlns:a16="http://schemas.microsoft.com/office/drawing/2014/main" id="{00000000-0008-0000-0C00-00007C000000}"/>
            </a:ext>
          </a:extLst>
        </xdr:cNvPr>
        <xdr:cNvGrpSpPr/>
      </xdr:nvGrpSpPr>
      <xdr:grpSpPr>
        <a:xfrm>
          <a:off x="37578975" y="2575303"/>
          <a:ext cx="635813" cy="575792"/>
          <a:chOff x="1480705" y="2363932"/>
          <a:chExt cx="623454" cy="588818"/>
        </a:xfrm>
      </xdr:grpSpPr>
      <xdr:pic>
        <xdr:nvPicPr>
          <xdr:cNvPr id="125" name="Picture 124" descr="Image result for pressure gauge">
            <a:extLst>
              <a:ext uri="{FF2B5EF4-FFF2-40B4-BE49-F238E27FC236}">
                <a16:creationId xmlns:a16="http://schemas.microsoft.com/office/drawing/2014/main" id="{00000000-0008-0000-0C00-00007D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2180" t="3639" r="11998" b="3578"/>
          <a:stretch/>
        </xdr:blipFill>
        <xdr:spPr bwMode="auto">
          <a:xfrm>
            <a:off x="1625023" y="2363932"/>
            <a:ext cx="479136" cy="58881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cxnSp macro="">
        <xdr:nvCxnSpPr>
          <xdr:cNvPr id="126" name="Straight Connector 125">
            <a:extLst>
              <a:ext uri="{FF2B5EF4-FFF2-40B4-BE49-F238E27FC236}">
                <a16:creationId xmlns:a16="http://schemas.microsoft.com/office/drawing/2014/main" id="{00000000-0008-0000-0C00-00007E000000}"/>
              </a:ext>
            </a:extLst>
          </xdr:cNvPr>
          <xdr:cNvCxnSpPr/>
        </xdr:nvCxnSpPr>
        <xdr:spPr>
          <a:xfrm>
            <a:off x="1480705" y="2935433"/>
            <a:ext cx="398318" cy="0"/>
          </a:xfrm>
          <a:prstGeom prst="line">
            <a:avLst/>
          </a:prstGeom>
          <a:ln w="60325">
            <a:solidFill>
              <a:schemeClr val="accent2">
                <a:lumMod val="7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oneCellAnchor>
    <xdr:from>
      <xdr:col>122</xdr:col>
      <xdr:colOff>219075</xdr:colOff>
      <xdr:row>3</xdr:row>
      <xdr:rowOff>57150</xdr:rowOff>
    </xdr:from>
    <xdr:ext cx="1913659" cy="1847850"/>
    <xdr:pic>
      <xdr:nvPicPr>
        <xdr:cNvPr id="127" name="Picture 126">
          <a:extLst>
            <a:ext uri="{FF2B5EF4-FFF2-40B4-BE49-F238E27FC236}">
              <a16:creationId xmlns:a16="http://schemas.microsoft.com/office/drawing/2014/main" id="{00000000-0008-0000-0C00-00007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470" r="9117" b="7165"/>
        <a:stretch/>
      </xdr:blipFill>
      <xdr:spPr>
        <a:xfrm>
          <a:off x="15372484" y="784514"/>
          <a:ext cx="1913659" cy="1847850"/>
        </a:xfrm>
        <a:prstGeom prst="rect">
          <a:avLst/>
        </a:prstGeom>
      </xdr:spPr>
    </xdr:pic>
    <xdr:clientData/>
  </xdr:oneCellAnchor>
  <xdr:twoCellAnchor>
    <xdr:from>
      <xdr:col>126</xdr:col>
      <xdr:colOff>209551</xdr:colOff>
      <xdr:row>2</xdr:row>
      <xdr:rowOff>65485</xdr:rowOff>
    </xdr:from>
    <xdr:to>
      <xdr:col>126</xdr:col>
      <xdr:colOff>419100</xdr:colOff>
      <xdr:row>33</xdr:row>
      <xdr:rowOff>173182</xdr:rowOff>
    </xdr:to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00000000-0008-0000-0C00-000080000000}"/>
            </a:ext>
          </a:extLst>
        </xdr:cNvPr>
        <xdr:cNvSpPr/>
      </xdr:nvSpPr>
      <xdr:spPr>
        <a:xfrm>
          <a:off x="15951778" y="550394"/>
          <a:ext cx="209549" cy="6082470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127</xdr:col>
      <xdr:colOff>6927</xdr:colOff>
      <xdr:row>34</xdr:row>
      <xdr:rowOff>0</xdr:rowOff>
    </xdr:from>
    <xdr:to>
      <xdr:col>128</xdr:col>
      <xdr:colOff>117529</xdr:colOff>
      <xdr:row>35</xdr:row>
      <xdr:rowOff>185024</xdr:rowOff>
    </xdr:to>
    <xdr:grpSp>
      <xdr:nvGrpSpPr>
        <xdr:cNvPr id="129" name="Group 128">
          <a:extLst>
            <a:ext uri="{FF2B5EF4-FFF2-40B4-BE49-F238E27FC236}">
              <a16:creationId xmlns:a16="http://schemas.microsoft.com/office/drawing/2014/main" id="{00000000-0008-0000-0C00-000081000000}"/>
            </a:ext>
          </a:extLst>
        </xdr:cNvPr>
        <xdr:cNvGrpSpPr/>
      </xdr:nvGrpSpPr>
      <xdr:grpSpPr>
        <a:xfrm flipH="1">
          <a:off x="47371414" y="6512821"/>
          <a:ext cx="249000" cy="372267"/>
          <a:chOff x="2332671" y="6377940"/>
          <a:chExt cx="228366" cy="375524"/>
        </a:xfrm>
      </xdr:grpSpPr>
      <xdr:grpSp>
        <xdr:nvGrpSpPr>
          <xdr:cNvPr id="130" name="Group 129">
            <a:extLst>
              <a:ext uri="{FF2B5EF4-FFF2-40B4-BE49-F238E27FC236}">
                <a16:creationId xmlns:a16="http://schemas.microsoft.com/office/drawing/2014/main" id="{00000000-0008-0000-0C00-000082000000}"/>
              </a:ext>
            </a:extLst>
          </xdr:cNvPr>
          <xdr:cNvGrpSpPr/>
        </xdr:nvGrpSpPr>
        <xdr:grpSpPr>
          <a:xfrm>
            <a:off x="2336244" y="6377940"/>
            <a:ext cx="224793" cy="219551"/>
            <a:chOff x="2333862" y="6389847"/>
            <a:chExt cx="224793" cy="219551"/>
          </a:xfrm>
        </xdr:grpSpPr>
        <xdr:sp macro="" textlink="">
          <xdr:nvSpPr>
            <xdr:cNvPr id="135" name="Isosceles Triangle 134">
              <a:extLst>
                <a:ext uri="{FF2B5EF4-FFF2-40B4-BE49-F238E27FC236}">
                  <a16:creationId xmlns:a16="http://schemas.microsoft.com/office/drawing/2014/main" id="{00000000-0008-0000-0C00-000087000000}"/>
                </a:ext>
              </a:extLst>
            </xdr:cNvPr>
            <xdr:cNvSpPr/>
          </xdr:nvSpPr>
          <xdr:spPr>
            <a:xfrm rot="16200000">
              <a:off x="2418042" y="6302096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36" name="Isosceles Triangle 135">
              <a:extLst>
                <a:ext uri="{FF2B5EF4-FFF2-40B4-BE49-F238E27FC236}">
                  <a16:creationId xmlns:a16="http://schemas.microsoft.com/office/drawing/2014/main" id="{00000000-0008-0000-0C00-000088000000}"/>
                </a:ext>
              </a:extLst>
            </xdr:cNvPr>
            <xdr:cNvSpPr/>
          </xdr:nvSpPr>
          <xdr:spPr>
            <a:xfrm rot="16200000">
              <a:off x="2421614" y="6359247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37" name="Isosceles Triangle 136">
              <a:extLst>
                <a:ext uri="{FF2B5EF4-FFF2-40B4-BE49-F238E27FC236}">
                  <a16:creationId xmlns:a16="http://schemas.microsoft.com/office/drawing/2014/main" id="{00000000-0008-0000-0C00-000089000000}"/>
                </a:ext>
              </a:extLst>
            </xdr:cNvPr>
            <xdr:cNvSpPr/>
          </xdr:nvSpPr>
          <xdr:spPr>
            <a:xfrm rot="16200000">
              <a:off x="2421613" y="6418777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38" name="Isosceles Triangle 137">
              <a:extLst>
                <a:ext uri="{FF2B5EF4-FFF2-40B4-BE49-F238E27FC236}">
                  <a16:creationId xmlns:a16="http://schemas.microsoft.com/office/drawing/2014/main" id="{00000000-0008-0000-0C00-00008A000000}"/>
                </a:ext>
              </a:extLst>
            </xdr:cNvPr>
            <xdr:cNvSpPr/>
          </xdr:nvSpPr>
          <xdr:spPr>
            <a:xfrm rot="16200000">
              <a:off x="2419232" y="6475928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131" name="Group 130">
            <a:extLst>
              <a:ext uri="{FF2B5EF4-FFF2-40B4-BE49-F238E27FC236}">
                <a16:creationId xmlns:a16="http://schemas.microsoft.com/office/drawing/2014/main" id="{00000000-0008-0000-0C00-000083000000}"/>
              </a:ext>
            </a:extLst>
          </xdr:cNvPr>
          <xdr:cNvGrpSpPr/>
        </xdr:nvGrpSpPr>
        <xdr:grpSpPr>
          <a:xfrm>
            <a:off x="2332671" y="6600589"/>
            <a:ext cx="223603" cy="152875"/>
            <a:chOff x="2332671" y="6600589"/>
            <a:chExt cx="223603" cy="152875"/>
          </a:xfrm>
        </xdr:grpSpPr>
        <xdr:sp macro="" textlink="">
          <xdr:nvSpPr>
            <xdr:cNvPr id="132" name="Isosceles Triangle 131">
              <a:extLst>
                <a:ext uri="{FF2B5EF4-FFF2-40B4-BE49-F238E27FC236}">
                  <a16:creationId xmlns:a16="http://schemas.microsoft.com/office/drawing/2014/main" id="{00000000-0008-0000-0C00-000084000000}"/>
                </a:ext>
              </a:extLst>
            </xdr:cNvPr>
            <xdr:cNvSpPr/>
          </xdr:nvSpPr>
          <xdr:spPr>
            <a:xfrm rot="16200000">
              <a:off x="2422804" y="6568797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33" name="Isosceles Triangle 132">
              <a:extLst>
                <a:ext uri="{FF2B5EF4-FFF2-40B4-BE49-F238E27FC236}">
                  <a16:creationId xmlns:a16="http://schemas.microsoft.com/office/drawing/2014/main" id="{00000000-0008-0000-0C00-000085000000}"/>
                </a:ext>
              </a:extLst>
            </xdr:cNvPr>
            <xdr:cNvSpPr/>
          </xdr:nvSpPr>
          <xdr:spPr>
            <a:xfrm rot="16200000">
              <a:off x="2420423" y="6619994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34" name="Isosceles Triangle 133">
              <a:extLst>
                <a:ext uri="{FF2B5EF4-FFF2-40B4-BE49-F238E27FC236}">
                  <a16:creationId xmlns:a16="http://schemas.microsoft.com/office/drawing/2014/main" id="{00000000-0008-0000-0C00-000086000000}"/>
                </a:ext>
              </a:extLst>
            </xdr:cNvPr>
            <xdr:cNvSpPr/>
          </xdr:nvSpPr>
          <xdr:spPr>
            <a:xfrm rot="16200000">
              <a:off x="2420422" y="6512838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</xdr:grpSp>
    <xdr:clientData/>
  </xdr:twoCellAnchor>
  <xdr:twoCellAnchor>
    <xdr:from>
      <xdr:col>124</xdr:col>
      <xdr:colOff>8660</xdr:colOff>
      <xdr:row>34</xdr:row>
      <xdr:rowOff>8659</xdr:rowOff>
    </xdr:from>
    <xdr:to>
      <xdr:col>126</xdr:col>
      <xdr:colOff>4962</xdr:colOff>
      <xdr:row>36</xdr:row>
      <xdr:rowOff>3183</xdr:rowOff>
    </xdr:to>
    <xdr:grpSp>
      <xdr:nvGrpSpPr>
        <xdr:cNvPr id="139" name="Group 138">
          <a:extLst>
            <a:ext uri="{FF2B5EF4-FFF2-40B4-BE49-F238E27FC236}">
              <a16:creationId xmlns:a16="http://schemas.microsoft.com/office/drawing/2014/main" id="{00000000-0008-0000-0C00-00008B000000}"/>
            </a:ext>
          </a:extLst>
        </xdr:cNvPr>
        <xdr:cNvGrpSpPr/>
      </xdr:nvGrpSpPr>
      <xdr:grpSpPr>
        <a:xfrm>
          <a:off x="46445070" y="6521480"/>
          <a:ext cx="264956" cy="369011"/>
          <a:chOff x="2332671" y="6377940"/>
          <a:chExt cx="228366" cy="375524"/>
        </a:xfrm>
      </xdr:grpSpPr>
      <xdr:grpSp>
        <xdr:nvGrpSpPr>
          <xdr:cNvPr id="140" name="Group 139">
            <a:extLst>
              <a:ext uri="{FF2B5EF4-FFF2-40B4-BE49-F238E27FC236}">
                <a16:creationId xmlns:a16="http://schemas.microsoft.com/office/drawing/2014/main" id="{00000000-0008-0000-0C00-00008C000000}"/>
              </a:ext>
            </a:extLst>
          </xdr:cNvPr>
          <xdr:cNvGrpSpPr/>
        </xdr:nvGrpSpPr>
        <xdr:grpSpPr>
          <a:xfrm>
            <a:off x="2336244" y="6377940"/>
            <a:ext cx="224793" cy="219551"/>
            <a:chOff x="2333862" y="6389847"/>
            <a:chExt cx="224793" cy="219551"/>
          </a:xfrm>
        </xdr:grpSpPr>
        <xdr:sp macro="" textlink="">
          <xdr:nvSpPr>
            <xdr:cNvPr id="145" name="Isosceles Triangle 144">
              <a:extLst>
                <a:ext uri="{FF2B5EF4-FFF2-40B4-BE49-F238E27FC236}">
                  <a16:creationId xmlns:a16="http://schemas.microsoft.com/office/drawing/2014/main" id="{00000000-0008-0000-0C00-000091000000}"/>
                </a:ext>
              </a:extLst>
            </xdr:cNvPr>
            <xdr:cNvSpPr/>
          </xdr:nvSpPr>
          <xdr:spPr>
            <a:xfrm rot="16200000">
              <a:off x="2418042" y="6302096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46" name="Isosceles Triangle 145">
              <a:extLst>
                <a:ext uri="{FF2B5EF4-FFF2-40B4-BE49-F238E27FC236}">
                  <a16:creationId xmlns:a16="http://schemas.microsoft.com/office/drawing/2014/main" id="{00000000-0008-0000-0C00-000092000000}"/>
                </a:ext>
              </a:extLst>
            </xdr:cNvPr>
            <xdr:cNvSpPr/>
          </xdr:nvSpPr>
          <xdr:spPr>
            <a:xfrm rot="16200000">
              <a:off x="2421614" y="6359247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47" name="Isosceles Triangle 146">
              <a:extLst>
                <a:ext uri="{FF2B5EF4-FFF2-40B4-BE49-F238E27FC236}">
                  <a16:creationId xmlns:a16="http://schemas.microsoft.com/office/drawing/2014/main" id="{00000000-0008-0000-0C00-000093000000}"/>
                </a:ext>
              </a:extLst>
            </xdr:cNvPr>
            <xdr:cNvSpPr/>
          </xdr:nvSpPr>
          <xdr:spPr>
            <a:xfrm rot="16200000">
              <a:off x="2421613" y="6418777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48" name="Isosceles Triangle 147">
              <a:extLst>
                <a:ext uri="{FF2B5EF4-FFF2-40B4-BE49-F238E27FC236}">
                  <a16:creationId xmlns:a16="http://schemas.microsoft.com/office/drawing/2014/main" id="{00000000-0008-0000-0C00-000094000000}"/>
                </a:ext>
              </a:extLst>
            </xdr:cNvPr>
            <xdr:cNvSpPr/>
          </xdr:nvSpPr>
          <xdr:spPr>
            <a:xfrm rot="16200000">
              <a:off x="2419232" y="6475928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141" name="Group 140">
            <a:extLst>
              <a:ext uri="{FF2B5EF4-FFF2-40B4-BE49-F238E27FC236}">
                <a16:creationId xmlns:a16="http://schemas.microsoft.com/office/drawing/2014/main" id="{00000000-0008-0000-0C00-00008D000000}"/>
              </a:ext>
            </a:extLst>
          </xdr:cNvPr>
          <xdr:cNvGrpSpPr/>
        </xdr:nvGrpSpPr>
        <xdr:grpSpPr>
          <a:xfrm>
            <a:off x="2332671" y="6600589"/>
            <a:ext cx="223603" cy="152875"/>
            <a:chOff x="2332671" y="6600589"/>
            <a:chExt cx="223603" cy="152875"/>
          </a:xfrm>
        </xdr:grpSpPr>
        <xdr:sp macro="" textlink="">
          <xdr:nvSpPr>
            <xdr:cNvPr id="142" name="Isosceles Triangle 141">
              <a:extLst>
                <a:ext uri="{FF2B5EF4-FFF2-40B4-BE49-F238E27FC236}">
                  <a16:creationId xmlns:a16="http://schemas.microsoft.com/office/drawing/2014/main" id="{00000000-0008-0000-0C00-00008E000000}"/>
                </a:ext>
              </a:extLst>
            </xdr:cNvPr>
            <xdr:cNvSpPr/>
          </xdr:nvSpPr>
          <xdr:spPr>
            <a:xfrm rot="16200000">
              <a:off x="2422804" y="6568797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43" name="Isosceles Triangle 142">
              <a:extLst>
                <a:ext uri="{FF2B5EF4-FFF2-40B4-BE49-F238E27FC236}">
                  <a16:creationId xmlns:a16="http://schemas.microsoft.com/office/drawing/2014/main" id="{00000000-0008-0000-0C00-00008F000000}"/>
                </a:ext>
              </a:extLst>
            </xdr:cNvPr>
            <xdr:cNvSpPr/>
          </xdr:nvSpPr>
          <xdr:spPr>
            <a:xfrm rot="16200000">
              <a:off x="2420423" y="6619994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44" name="Isosceles Triangle 143">
              <a:extLst>
                <a:ext uri="{FF2B5EF4-FFF2-40B4-BE49-F238E27FC236}">
                  <a16:creationId xmlns:a16="http://schemas.microsoft.com/office/drawing/2014/main" id="{00000000-0008-0000-0C00-000090000000}"/>
                </a:ext>
              </a:extLst>
            </xdr:cNvPr>
            <xdr:cNvSpPr/>
          </xdr:nvSpPr>
          <xdr:spPr>
            <a:xfrm rot="16200000">
              <a:off x="2420422" y="6512838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</xdr:grpSp>
    <xdr:clientData/>
  </xdr:twoCellAnchor>
  <xdr:twoCellAnchor>
    <xdr:from>
      <xdr:col>129</xdr:col>
      <xdr:colOff>0</xdr:colOff>
      <xdr:row>13</xdr:row>
      <xdr:rowOff>8659</xdr:rowOff>
    </xdr:from>
    <xdr:to>
      <xdr:col>131</xdr:col>
      <xdr:colOff>285749</xdr:colOff>
      <xdr:row>16</xdr:row>
      <xdr:rowOff>25977</xdr:rowOff>
    </xdr:to>
    <xdr:grpSp>
      <xdr:nvGrpSpPr>
        <xdr:cNvPr id="149" name="Group 148">
          <a:extLst>
            <a:ext uri="{FF2B5EF4-FFF2-40B4-BE49-F238E27FC236}">
              <a16:creationId xmlns:a16="http://schemas.microsoft.com/office/drawing/2014/main" id="{00000000-0008-0000-0C00-000095000000}"/>
            </a:ext>
          </a:extLst>
        </xdr:cNvPr>
        <xdr:cNvGrpSpPr/>
      </xdr:nvGrpSpPr>
      <xdr:grpSpPr>
        <a:xfrm>
          <a:off x="47641282" y="2589364"/>
          <a:ext cx="635813" cy="579049"/>
          <a:chOff x="1480705" y="2363932"/>
          <a:chExt cx="623454" cy="588818"/>
        </a:xfrm>
      </xdr:grpSpPr>
      <xdr:pic>
        <xdr:nvPicPr>
          <xdr:cNvPr id="150" name="Picture 149" descr="Image result for pressure gauge">
            <a:extLst>
              <a:ext uri="{FF2B5EF4-FFF2-40B4-BE49-F238E27FC236}">
                <a16:creationId xmlns:a16="http://schemas.microsoft.com/office/drawing/2014/main" id="{00000000-0008-0000-0C00-000096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2180" t="3639" r="11998" b="3578"/>
          <a:stretch/>
        </xdr:blipFill>
        <xdr:spPr bwMode="auto">
          <a:xfrm>
            <a:off x="1625023" y="2363932"/>
            <a:ext cx="479136" cy="58881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cxnSp macro="">
        <xdr:nvCxnSpPr>
          <xdr:cNvPr id="151" name="Straight Connector 150">
            <a:extLst>
              <a:ext uri="{FF2B5EF4-FFF2-40B4-BE49-F238E27FC236}">
                <a16:creationId xmlns:a16="http://schemas.microsoft.com/office/drawing/2014/main" id="{00000000-0008-0000-0C00-000097000000}"/>
              </a:ext>
            </a:extLst>
          </xdr:cNvPr>
          <xdr:cNvCxnSpPr/>
        </xdr:nvCxnSpPr>
        <xdr:spPr>
          <a:xfrm>
            <a:off x="1480705" y="2935433"/>
            <a:ext cx="398318" cy="0"/>
          </a:xfrm>
          <a:prstGeom prst="line">
            <a:avLst/>
          </a:prstGeom>
          <a:ln w="60325">
            <a:solidFill>
              <a:schemeClr val="accent2">
                <a:lumMod val="7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126</xdr:col>
      <xdr:colOff>164522</xdr:colOff>
      <xdr:row>17</xdr:row>
      <xdr:rowOff>34636</xdr:rowOff>
    </xdr:from>
    <xdr:to>
      <xdr:col>126</xdr:col>
      <xdr:colOff>251113</xdr:colOff>
      <xdr:row>17</xdr:row>
      <xdr:rowOff>112568</xdr:rowOff>
    </xdr:to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00000000-0008-0000-0C00-000098000000}"/>
            </a:ext>
          </a:extLst>
        </xdr:cNvPr>
        <xdr:cNvSpPr/>
      </xdr:nvSpPr>
      <xdr:spPr>
        <a:xfrm>
          <a:off x="18331295" y="3429000"/>
          <a:ext cx="86591" cy="77932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126</xdr:col>
      <xdr:colOff>277091</xdr:colOff>
      <xdr:row>16</xdr:row>
      <xdr:rowOff>138544</xdr:rowOff>
    </xdr:from>
    <xdr:to>
      <xdr:col>126</xdr:col>
      <xdr:colOff>415637</xdr:colOff>
      <xdr:row>18</xdr:row>
      <xdr:rowOff>17317</xdr:rowOff>
    </xdr:to>
    <xdr:sp macro="" textlink="">
      <xdr:nvSpPr>
        <xdr:cNvPr id="153" name="Left Arrow 152">
          <a:extLst>
            <a:ext uri="{FF2B5EF4-FFF2-40B4-BE49-F238E27FC236}">
              <a16:creationId xmlns:a16="http://schemas.microsoft.com/office/drawing/2014/main" id="{00000000-0008-0000-0C00-000099000000}"/>
            </a:ext>
          </a:extLst>
        </xdr:cNvPr>
        <xdr:cNvSpPr/>
      </xdr:nvSpPr>
      <xdr:spPr>
        <a:xfrm>
          <a:off x="18443864" y="3342408"/>
          <a:ext cx="138546" cy="259773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132</xdr:col>
      <xdr:colOff>219075</xdr:colOff>
      <xdr:row>3</xdr:row>
      <xdr:rowOff>57150</xdr:rowOff>
    </xdr:from>
    <xdr:ext cx="1913659" cy="1847850"/>
    <xdr:pic>
      <xdr:nvPicPr>
        <xdr:cNvPr id="154" name="Picture 153">
          <a:extLst>
            <a:ext uri="{FF2B5EF4-FFF2-40B4-BE49-F238E27FC236}">
              <a16:creationId xmlns:a16="http://schemas.microsoft.com/office/drawing/2014/main" id="{00000000-0008-0000-0C00-00009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470" r="9117" b="7165"/>
        <a:stretch/>
      </xdr:blipFill>
      <xdr:spPr>
        <a:xfrm>
          <a:off x="15372484" y="784514"/>
          <a:ext cx="1913659" cy="1847850"/>
        </a:xfrm>
        <a:prstGeom prst="rect">
          <a:avLst/>
        </a:prstGeom>
      </xdr:spPr>
    </xdr:pic>
    <xdr:clientData/>
  </xdr:oneCellAnchor>
  <xdr:twoCellAnchor>
    <xdr:from>
      <xdr:col>136</xdr:col>
      <xdr:colOff>209551</xdr:colOff>
      <xdr:row>2</xdr:row>
      <xdr:rowOff>65485</xdr:rowOff>
    </xdr:from>
    <xdr:to>
      <xdr:col>136</xdr:col>
      <xdr:colOff>419100</xdr:colOff>
      <xdr:row>33</xdr:row>
      <xdr:rowOff>173182</xdr:rowOff>
    </xdr:to>
    <xdr:sp macro="" textlink="">
      <xdr:nvSpPr>
        <xdr:cNvPr id="155" name="Rectangle 154">
          <a:extLst>
            <a:ext uri="{FF2B5EF4-FFF2-40B4-BE49-F238E27FC236}">
              <a16:creationId xmlns:a16="http://schemas.microsoft.com/office/drawing/2014/main" id="{00000000-0008-0000-0C00-00009B000000}"/>
            </a:ext>
          </a:extLst>
        </xdr:cNvPr>
        <xdr:cNvSpPr/>
      </xdr:nvSpPr>
      <xdr:spPr>
        <a:xfrm>
          <a:off x="15951778" y="550394"/>
          <a:ext cx="209549" cy="6082470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 w="158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137</xdr:col>
      <xdr:colOff>6927</xdr:colOff>
      <xdr:row>34</xdr:row>
      <xdr:rowOff>0</xdr:rowOff>
    </xdr:from>
    <xdr:to>
      <xdr:col>138</xdr:col>
      <xdr:colOff>117529</xdr:colOff>
      <xdr:row>35</xdr:row>
      <xdr:rowOff>185024</xdr:rowOff>
    </xdr:to>
    <xdr:grpSp>
      <xdr:nvGrpSpPr>
        <xdr:cNvPr id="156" name="Group 155">
          <a:extLst>
            <a:ext uri="{FF2B5EF4-FFF2-40B4-BE49-F238E27FC236}">
              <a16:creationId xmlns:a16="http://schemas.microsoft.com/office/drawing/2014/main" id="{00000000-0008-0000-0C00-00009C000000}"/>
            </a:ext>
          </a:extLst>
        </xdr:cNvPr>
        <xdr:cNvGrpSpPr/>
      </xdr:nvGrpSpPr>
      <xdr:grpSpPr>
        <a:xfrm flipH="1">
          <a:off x="49886991" y="6512821"/>
          <a:ext cx="249000" cy="372267"/>
          <a:chOff x="2332671" y="6377940"/>
          <a:chExt cx="228366" cy="375524"/>
        </a:xfrm>
      </xdr:grpSpPr>
      <xdr:grpSp>
        <xdr:nvGrpSpPr>
          <xdr:cNvPr id="157" name="Group 156">
            <a:extLst>
              <a:ext uri="{FF2B5EF4-FFF2-40B4-BE49-F238E27FC236}">
                <a16:creationId xmlns:a16="http://schemas.microsoft.com/office/drawing/2014/main" id="{00000000-0008-0000-0C00-00009D000000}"/>
              </a:ext>
            </a:extLst>
          </xdr:cNvPr>
          <xdr:cNvGrpSpPr/>
        </xdr:nvGrpSpPr>
        <xdr:grpSpPr>
          <a:xfrm>
            <a:off x="2336244" y="6377940"/>
            <a:ext cx="224793" cy="219551"/>
            <a:chOff x="2333862" y="6389847"/>
            <a:chExt cx="224793" cy="219551"/>
          </a:xfrm>
        </xdr:grpSpPr>
        <xdr:sp macro="" textlink="">
          <xdr:nvSpPr>
            <xdr:cNvPr id="162" name="Isosceles Triangle 161">
              <a:extLst>
                <a:ext uri="{FF2B5EF4-FFF2-40B4-BE49-F238E27FC236}">
                  <a16:creationId xmlns:a16="http://schemas.microsoft.com/office/drawing/2014/main" id="{00000000-0008-0000-0C00-0000A2000000}"/>
                </a:ext>
              </a:extLst>
            </xdr:cNvPr>
            <xdr:cNvSpPr/>
          </xdr:nvSpPr>
          <xdr:spPr>
            <a:xfrm rot="16200000">
              <a:off x="2418042" y="6302096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63" name="Isosceles Triangle 162">
              <a:extLst>
                <a:ext uri="{FF2B5EF4-FFF2-40B4-BE49-F238E27FC236}">
                  <a16:creationId xmlns:a16="http://schemas.microsoft.com/office/drawing/2014/main" id="{00000000-0008-0000-0C00-0000A3000000}"/>
                </a:ext>
              </a:extLst>
            </xdr:cNvPr>
            <xdr:cNvSpPr/>
          </xdr:nvSpPr>
          <xdr:spPr>
            <a:xfrm rot="16200000">
              <a:off x="2421614" y="6359247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64" name="Isosceles Triangle 163">
              <a:extLst>
                <a:ext uri="{FF2B5EF4-FFF2-40B4-BE49-F238E27FC236}">
                  <a16:creationId xmlns:a16="http://schemas.microsoft.com/office/drawing/2014/main" id="{00000000-0008-0000-0C00-0000A4000000}"/>
                </a:ext>
              </a:extLst>
            </xdr:cNvPr>
            <xdr:cNvSpPr/>
          </xdr:nvSpPr>
          <xdr:spPr>
            <a:xfrm rot="16200000">
              <a:off x="2421613" y="6418777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65" name="Isosceles Triangle 164">
              <a:extLst>
                <a:ext uri="{FF2B5EF4-FFF2-40B4-BE49-F238E27FC236}">
                  <a16:creationId xmlns:a16="http://schemas.microsoft.com/office/drawing/2014/main" id="{00000000-0008-0000-0C00-0000A5000000}"/>
                </a:ext>
              </a:extLst>
            </xdr:cNvPr>
            <xdr:cNvSpPr/>
          </xdr:nvSpPr>
          <xdr:spPr>
            <a:xfrm rot="16200000">
              <a:off x="2419232" y="6475928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158" name="Group 157">
            <a:extLst>
              <a:ext uri="{FF2B5EF4-FFF2-40B4-BE49-F238E27FC236}">
                <a16:creationId xmlns:a16="http://schemas.microsoft.com/office/drawing/2014/main" id="{00000000-0008-0000-0C00-00009E000000}"/>
              </a:ext>
            </a:extLst>
          </xdr:cNvPr>
          <xdr:cNvGrpSpPr/>
        </xdr:nvGrpSpPr>
        <xdr:grpSpPr>
          <a:xfrm>
            <a:off x="2332671" y="6600589"/>
            <a:ext cx="223603" cy="152875"/>
            <a:chOff x="2332671" y="6600589"/>
            <a:chExt cx="223603" cy="152875"/>
          </a:xfrm>
        </xdr:grpSpPr>
        <xdr:sp macro="" textlink="">
          <xdr:nvSpPr>
            <xdr:cNvPr id="159" name="Isosceles Triangle 158">
              <a:extLst>
                <a:ext uri="{FF2B5EF4-FFF2-40B4-BE49-F238E27FC236}">
                  <a16:creationId xmlns:a16="http://schemas.microsoft.com/office/drawing/2014/main" id="{00000000-0008-0000-0C00-00009F000000}"/>
                </a:ext>
              </a:extLst>
            </xdr:cNvPr>
            <xdr:cNvSpPr/>
          </xdr:nvSpPr>
          <xdr:spPr>
            <a:xfrm rot="16200000">
              <a:off x="2422804" y="6568797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60" name="Isosceles Triangle 159">
              <a:extLst>
                <a:ext uri="{FF2B5EF4-FFF2-40B4-BE49-F238E27FC236}">
                  <a16:creationId xmlns:a16="http://schemas.microsoft.com/office/drawing/2014/main" id="{00000000-0008-0000-0C00-0000A0000000}"/>
                </a:ext>
              </a:extLst>
            </xdr:cNvPr>
            <xdr:cNvSpPr/>
          </xdr:nvSpPr>
          <xdr:spPr>
            <a:xfrm rot="16200000">
              <a:off x="2420423" y="6619994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61" name="Isosceles Triangle 160">
              <a:extLst>
                <a:ext uri="{FF2B5EF4-FFF2-40B4-BE49-F238E27FC236}">
                  <a16:creationId xmlns:a16="http://schemas.microsoft.com/office/drawing/2014/main" id="{00000000-0008-0000-0C00-0000A1000000}"/>
                </a:ext>
              </a:extLst>
            </xdr:cNvPr>
            <xdr:cNvSpPr/>
          </xdr:nvSpPr>
          <xdr:spPr>
            <a:xfrm rot="16200000">
              <a:off x="2420422" y="6512838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</xdr:grpSp>
    <xdr:clientData/>
  </xdr:twoCellAnchor>
  <xdr:twoCellAnchor>
    <xdr:from>
      <xdr:col>134</xdr:col>
      <xdr:colOff>8660</xdr:colOff>
      <xdr:row>34</xdr:row>
      <xdr:rowOff>8659</xdr:rowOff>
    </xdr:from>
    <xdr:to>
      <xdr:col>136</xdr:col>
      <xdr:colOff>4962</xdr:colOff>
      <xdr:row>36</xdr:row>
      <xdr:rowOff>3183</xdr:rowOff>
    </xdr:to>
    <xdr:grpSp>
      <xdr:nvGrpSpPr>
        <xdr:cNvPr id="166" name="Group 165">
          <a:extLst>
            <a:ext uri="{FF2B5EF4-FFF2-40B4-BE49-F238E27FC236}">
              <a16:creationId xmlns:a16="http://schemas.microsoft.com/office/drawing/2014/main" id="{00000000-0008-0000-0C00-0000A6000000}"/>
            </a:ext>
          </a:extLst>
        </xdr:cNvPr>
        <xdr:cNvGrpSpPr/>
      </xdr:nvGrpSpPr>
      <xdr:grpSpPr>
        <a:xfrm>
          <a:off x="48960647" y="6521480"/>
          <a:ext cx="264956" cy="369011"/>
          <a:chOff x="2332671" y="6377940"/>
          <a:chExt cx="228366" cy="375524"/>
        </a:xfrm>
      </xdr:grpSpPr>
      <xdr:grpSp>
        <xdr:nvGrpSpPr>
          <xdr:cNvPr id="167" name="Group 166">
            <a:extLst>
              <a:ext uri="{FF2B5EF4-FFF2-40B4-BE49-F238E27FC236}">
                <a16:creationId xmlns:a16="http://schemas.microsoft.com/office/drawing/2014/main" id="{00000000-0008-0000-0C00-0000A7000000}"/>
              </a:ext>
            </a:extLst>
          </xdr:cNvPr>
          <xdr:cNvGrpSpPr/>
        </xdr:nvGrpSpPr>
        <xdr:grpSpPr>
          <a:xfrm>
            <a:off x="2336244" y="6377940"/>
            <a:ext cx="224793" cy="219551"/>
            <a:chOff x="2333862" y="6389847"/>
            <a:chExt cx="224793" cy="219551"/>
          </a:xfrm>
        </xdr:grpSpPr>
        <xdr:sp macro="" textlink="">
          <xdr:nvSpPr>
            <xdr:cNvPr id="172" name="Isosceles Triangle 171">
              <a:extLst>
                <a:ext uri="{FF2B5EF4-FFF2-40B4-BE49-F238E27FC236}">
                  <a16:creationId xmlns:a16="http://schemas.microsoft.com/office/drawing/2014/main" id="{00000000-0008-0000-0C00-0000AC000000}"/>
                </a:ext>
              </a:extLst>
            </xdr:cNvPr>
            <xdr:cNvSpPr/>
          </xdr:nvSpPr>
          <xdr:spPr>
            <a:xfrm rot="16200000">
              <a:off x="2418042" y="6302096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73" name="Isosceles Triangle 172">
              <a:extLst>
                <a:ext uri="{FF2B5EF4-FFF2-40B4-BE49-F238E27FC236}">
                  <a16:creationId xmlns:a16="http://schemas.microsoft.com/office/drawing/2014/main" id="{00000000-0008-0000-0C00-0000AD000000}"/>
                </a:ext>
              </a:extLst>
            </xdr:cNvPr>
            <xdr:cNvSpPr/>
          </xdr:nvSpPr>
          <xdr:spPr>
            <a:xfrm rot="16200000">
              <a:off x="2421614" y="6359247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74" name="Isosceles Triangle 173">
              <a:extLst>
                <a:ext uri="{FF2B5EF4-FFF2-40B4-BE49-F238E27FC236}">
                  <a16:creationId xmlns:a16="http://schemas.microsoft.com/office/drawing/2014/main" id="{00000000-0008-0000-0C00-0000AE000000}"/>
                </a:ext>
              </a:extLst>
            </xdr:cNvPr>
            <xdr:cNvSpPr/>
          </xdr:nvSpPr>
          <xdr:spPr>
            <a:xfrm rot="16200000">
              <a:off x="2421613" y="6418777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75" name="Isosceles Triangle 174">
              <a:extLst>
                <a:ext uri="{FF2B5EF4-FFF2-40B4-BE49-F238E27FC236}">
                  <a16:creationId xmlns:a16="http://schemas.microsoft.com/office/drawing/2014/main" id="{00000000-0008-0000-0C00-0000AF000000}"/>
                </a:ext>
              </a:extLst>
            </xdr:cNvPr>
            <xdr:cNvSpPr/>
          </xdr:nvSpPr>
          <xdr:spPr>
            <a:xfrm rot="16200000">
              <a:off x="2419232" y="6475928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168" name="Group 167">
            <a:extLst>
              <a:ext uri="{FF2B5EF4-FFF2-40B4-BE49-F238E27FC236}">
                <a16:creationId xmlns:a16="http://schemas.microsoft.com/office/drawing/2014/main" id="{00000000-0008-0000-0C00-0000A8000000}"/>
              </a:ext>
            </a:extLst>
          </xdr:cNvPr>
          <xdr:cNvGrpSpPr/>
        </xdr:nvGrpSpPr>
        <xdr:grpSpPr>
          <a:xfrm>
            <a:off x="2332671" y="6600589"/>
            <a:ext cx="223603" cy="152875"/>
            <a:chOff x="2332671" y="6600589"/>
            <a:chExt cx="223603" cy="152875"/>
          </a:xfrm>
        </xdr:grpSpPr>
        <xdr:sp macro="" textlink="">
          <xdr:nvSpPr>
            <xdr:cNvPr id="169" name="Isosceles Triangle 168">
              <a:extLst>
                <a:ext uri="{FF2B5EF4-FFF2-40B4-BE49-F238E27FC236}">
                  <a16:creationId xmlns:a16="http://schemas.microsoft.com/office/drawing/2014/main" id="{00000000-0008-0000-0C00-0000A9000000}"/>
                </a:ext>
              </a:extLst>
            </xdr:cNvPr>
            <xdr:cNvSpPr/>
          </xdr:nvSpPr>
          <xdr:spPr>
            <a:xfrm rot="16200000">
              <a:off x="2422804" y="6568797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70" name="Isosceles Triangle 169">
              <a:extLst>
                <a:ext uri="{FF2B5EF4-FFF2-40B4-BE49-F238E27FC236}">
                  <a16:creationId xmlns:a16="http://schemas.microsoft.com/office/drawing/2014/main" id="{00000000-0008-0000-0C00-0000AA000000}"/>
                </a:ext>
              </a:extLst>
            </xdr:cNvPr>
            <xdr:cNvSpPr/>
          </xdr:nvSpPr>
          <xdr:spPr>
            <a:xfrm rot="16200000">
              <a:off x="2420423" y="6619994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71" name="Isosceles Triangle 170">
              <a:extLst>
                <a:ext uri="{FF2B5EF4-FFF2-40B4-BE49-F238E27FC236}">
                  <a16:creationId xmlns:a16="http://schemas.microsoft.com/office/drawing/2014/main" id="{00000000-0008-0000-0C00-0000AB000000}"/>
                </a:ext>
              </a:extLst>
            </xdr:cNvPr>
            <xdr:cNvSpPr/>
          </xdr:nvSpPr>
          <xdr:spPr>
            <a:xfrm rot="16200000">
              <a:off x="2420422" y="6512838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</xdr:grpSp>
    <xdr:clientData/>
  </xdr:twoCellAnchor>
  <xdr:twoCellAnchor>
    <xdr:from>
      <xdr:col>139</xdr:col>
      <xdr:colOff>0</xdr:colOff>
      <xdr:row>13</xdr:row>
      <xdr:rowOff>8659</xdr:rowOff>
    </xdr:from>
    <xdr:to>
      <xdr:col>141</xdr:col>
      <xdr:colOff>285749</xdr:colOff>
      <xdr:row>16</xdr:row>
      <xdr:rowOff>25977</xdr:rowOff>
    </xdr:to>
    <xdr:grpSp>
      <xdr:nvGrpSpPr>
        <xdr:cNvPr id="176" name="Group 175">
          <a:extLst>
            <a:ext uri="{FF2B5EF4-FFF2-40B4-BE49-F238E27FC236}">
              <a16:creationId xmlns:a16="http://schemas.microsoft.com/office/drawing/2014/main" id="{00000000-0008-0000-0C00-0000B0000000}"/>
            </a:ext>
          </a:extLst>
        </xdr:cNvPr>
        <xdr:cNvGrpSpPr/>
      </xdr:nvGrpSpPr>
      <xdr:grpSpPr>
        <a:xfrm>
          <a:off x="50156859" y="2589364"/>
          <a:ext cx="635813" cy="579049"/>
          <a:chOff x="1480705" y="2363932"/>
          <a:chExt cx="623454" cy="588818"/>
        </a:xfrm>
      </xdr:grpSpPr>
      <xdr:pic>
        <xdr:nvPicPr>
          <xdr:cNvPr id="177" name="Picture 176" descr="Image result for pressure gauge">
            <a:extLst>
              <a:ext uri="{FF2B5EF4-FFF2-40B4-BE49-F238E27FC236}">
                <a16:creationId xmlns:a16="http://schemas.microsoft.com/office/drawing/2014/main" id="{00000000-0008-0000-0C00-0000B1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2180" t="3639" r="11998" b="3578"/>
          <a:stretch/>
        </xdr:blipFill>
        <xdr:spPr bwMode="auto">
          <a:xfrm>
            <a:off x="1625023" y="2363932"/>
            <a:ext cx="479136" cy="58881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cxnSp macro="">
        <xdr:nvCxnSpPr>
          <xdr:cNvPr id="178" name="Straight Connector 177">
            <a:extLst>
              <a:ext uri="{FF2B5EF4-FFF2-40B4-BE49-F238E27FC236}">
                <a16:creationId xmlns:a16="http://schemas.microsoft.com/office/drawing/2014/main" id="{00000000-0008-0000-0C00-0000B2000000}"/>
              </a:ext>
            </a:extLst>
          </xdr:cNvPr>
          <xdr:cNvCxnSpPr/>
        </xdr:nvCxnSpPr>
        <xdr:spPr>
          <a:xfrm>
            <a:off x="1480705" y="2935433"/>
            <a:ext cx="398318" cy="0"/>
          </a:xfrm>
          <a:prstGeom prst="line">
            <a:avLst/>
          </a:prstGeom>
          <a:ln w="60325">
            <a:solidFill>
              <a:schemeClr val="accent2">
                <a:lumMod val="7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oneCellAnchor>
    <xdr:from>
      <xdr:col>1</xdr:col>
      <xdr:colOff>487505</xdr:colOff>
      <xdr:row>3</xdr:row>
      <xdr:rowOff>57150</xdr:rowOff>
    </xdr:from>
    <xdr:ext cx="1913659" cy="1847850"/>
    <xdr:pic>
      <xdr:nvPicPr>
        <xdr:cNvPr id="179" name="Picture 178">
          <a:extLst>
            <a:ext uri="{FF2B5EF4-FFF2-40B4-BE49-F238E27FC236}">
              <a16:creationId xmlns:a16="http://schemas.microsoft.com/office/drawing/2014/main" id="{00000000-0008-0000-0C00-0000B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470" r="9117" b="7165"/>
        <a:stretch/>
      </xdr:blipFill>
      <xdr:spPr>
        <a:xfrm>
          <a:off x="7532541" y="784514"/>
          <a:ext cx="1913659" cy="1847850"/>
        </a:xfrm>
        <a:prstGeom prst="rect">
          <a:avLst/>
        </a:prstGeom>
      </xdr:spPr>
    </xdr:pic>
    <xdr:clientData/>
  </xdr:oneCellAnchor>
  <xdr:oneCellAnchor>
    <xdr:from>
      <xdr:col>5</xdr:col>
      <xdr:colOff>25977</xdr:colOff>
      <xdr:row>37</xdr:row>
      <xdr:rowOff>34636</xdr:rowOff>
    </xdr:from>
    <xdr:ext cx="580161" cy="346364"/>
    <xdr:pic>
      <xdr:nvPicPr>
        <xdr:cNvPr id="180" name="Picture 179">
          <a:extLst>
            <a:ext uri="{FF2B5EF4-FFF2-40B4-BE49-F238E27FC236}">
              <a16:creationId xmlns:a16="http://schemas.microsoft.com/office/drawing/2014/main" id="{00000000-0008-0000-0C00-0000B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73696" t="47090" r="12097" b="23625"/>
        <a:stretch/>
      </xdr:blipFill>
      <xdr:spPr>
        <a:xfrm>
          <a:off x="1220932" y="7256318"/>
          <a:ext cx="580161" cy="346364"/>
        </a:xfrm>
        <a:prstGeom prst="rect">
          <a:avLst/>
        </a:prstGeom>
      </xdr:spPr>
    </xdr:pic>
    <xdr:clientData/>
  </xdr:oneCellAnchor>
  <xdr:twoCellAnchor>
    <xdr:from>
      <xdr:col>8</xdr:col>
      <xdr:colOff>0</xdr:colOff>
      <xdr:row>13</xdr:row>
      <xdr:rowOff>25977</xdr:rowOff>
    </xdr:from>
    <xdr:to>
      <xdr:col>10</xdr:col>
      <xdr:colOff>285750</xdr:colOff>
      <xdr:row>16</xdr:row>
      <xdr:rowOff>43295</xdr:rowOff>
    </xdr:to>
    <xdr:grpSp>
      <xdr:nvGrpSpPr>
        <xdr:cNvPr id="181" name="Group 180">
          <a:extLst>
            <a:ext uri="{FF2B5EF4-FFF2-40B4-BE49-F238E27FC236}">
              <a16:creationId xmlns:a16="http://schemas.microsoft.com/office/drawing/2014/main" id="{00000000-0008-0000-0C00-0000B5000000}"/>
            </a:ext>
          </a:extLst>
        </xdr:cNvPr>
        <xdr:cNvGrpSpPr/>
      </xdr:nvGrpSpPr>
      <xdr:grpSpPr>
        <a:xfrm>
          <a:off x="2165513" y="2606682"/>
          <a:ext cx="635814" cy="579049"/>
          <a:chOff x="1480705" y="2363932"/>
          <a:chExt cx="623454" cy="588818"/>
        </a:xfrm>
      </xdr:grpSpPr>
      <xdr:pic>
        <xdr:nvPicPr>
          <xdr:cNvPr id="182" name="Picture 181" descr="Image result for pressure gauge">
            <a:extLst>
              <a:ext uri="{FF2B5EF4-FFF2-40B4-BE49-F238E27FC236}">
                <a16:creationId xmlns:a16="http://schemas.microsoft.com/office/drawing/2014/main" id="{00000000-0008-0000-0C00-0000B6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2180" t="3639" r="11998" b="3578"/>
          <a:stretch/>
        </xdr:blipFill>
        <xdr:spPr bwMode="auto">
          <a:xfrm>
            <a:off x="1625023" y="2363932"/>
            <a:ext cx="479136" cy="58881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cxnSp macro="">
        <xdr:nvCxnSpPr>
          <xdr:cNvPr id="183" name="Straight Connector 182">
            <a:extLst>
              <a:ext uri="{FF2B5EF4-FFF2-40B4-BE49-F238E27FC236}">
                <a16:creationId xmlns:a16="http://schemas.microsoft.com/office/drawing/2014/main" id="{00000000-0008-0000-0C00-0000B7000000}"/>
              </a:ext>
            </a:extLst>
          </xdr:cNvPr>
          <xdr:cNvCxnSpPr/>
        </xdr:nvCxnSpPr>
        <xdr:spPr>
          <a:xfrm>
            <a:off x="1480705" y="2935433"/>
            <a:ext cx="398318" cy="0"/>
          </a:xfrm>
          <a:prstGeom prst="line">
            <a:avLst/>
          </a:prstGeom>
          <a:ln w="60325">
            <a:solidFill>
              <a:schemeClr val="accent2">
                <a:lumMod val="7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oneCellAnchor>
    <xdr:from>
      <xdr:col>5</xdr:col>
      <xdr:colOff>31173</xdr:colOff>
      <xdr:row>22</xdr:row>
      <xdr:rowOff>13855</xdr:rowOff>
    </xdr:from>
    <xdr:ext cx="580161" cy="358486"/>
    <xdr:pic>
      <xdr:nvPicPr>
        <xdr:cNvPr id="184" name="Picture 183">
          <a:extLst>
            <a:ext uri="{FF2B5EF4-FFF2-40B4-BE49-F238E27FC236}">
              <a16:creationId xmlns:a16="http://schemas.microsoft.com/office/drawing/2014/main" id="{00000000-0008-0000-0C00-0000B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73696" t="20003" r="12097" b="49688"/>
        <a:stretch/>
      </xdr:blipFill>
      <xdr:spPr>
        <a:xfrm>
          <a:off x="1226128" y="4378037"/>
          <a:ext cx="580161" cy="358486"/>
        </a:xfrm>
        <a:prstGeom prst="rect">
          <a:avLst/>
        </a:prstGeom>
      </xdr:spPr>
    </xdr:pic>
    <xdr:clientData/>
  </xdr:oneCellAnchor>
  <xdr:twoCellAnchor>
    <xdr:from>
      <xdr:col>53</xdr:col>
      <xdr:colOff>398318</xdr:colOff>
      <xdr:row>17</xdr:row>
      <xdr:rowOff>51954</xdr:rowOff>
    </xdr:from>
    <xdr:to>
      <xdr:col>54</xdr:col>
      <xdr:colOff>43296</xdr:colOff>
      <xdr:row>18</xdr:row>
      <xdr:rowOff>25977</xdr:rowOff>
    </xdr:to>
    <xdr:sp macro="" textlink="">
      <xdr:nvSpPr>
        <xdr:cNvPr id="185" name="Down Arrow 184">
          <a:extLst>
            <a:ext uri="{FF2B5EF4-FFF2-40B4-BE49-F238E27FC236}">
              <a16:creationId xmlns:a16="http://schemas.microsoft.com/office/drawing/2014/main" id="{00000000-0008-0000-0C00-0000B9000000}"/>
            </a:ext>
          </a:extLst>
        </xdr:cNvPr>
        <xdr:cNvSpPr/>
      </xdr:nvSpPr>
      <xdr:spPr>
        <a:xfrm>
          <a:off x="7048500" y="3446318"/>
          <a:ext cx="277091" cy="164523"/>
        </a:xfrm>
        <a:prstGeom prst="down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52</xdr:col>
      <xdr:colOff>91787</xdr:colOff>
      <xdr:row>17</xdr:row>
      <xdr:rowOff>48491</xdr:rowOff>
    </xdr:from>
    <xdr:to>
      <xdr:col>53</xdr:col>
      <xdr:colOff>238991</xdr:colOff>
      <xdr:row>18</xdr:row>
      <xdr:rowOff>22514</xdr:rowOff>
    </xdr:to>
    <xdr:sp macro="" textlink="">
      <xdr:nvSpPr>
        <xdr:cNvPr id="186" name="Down Arrow 185">
          <a:extLst>
            <a:ext uri="{FF2B5EF4-FFF2-40B4-BE49-F238E27FC236}">
              <a16:creationId xmlns:a16="http://schemas.microsoft.com/office/drawing/2014/main" id="{00000000-0008-0000-0C00-0000BA000000}"/>
            </a:ext>
          </a:extLst>
        </xdr:cNvPr>
        <xdr:cNvSpPr/>
      </xdr:nvSpPr>
      <xdr:spPr>
        <a:xfrm>
          <a:off x="6612082" y="3442855"/>
          <a:ext cx="277091" cy="164523"/>
        </a:xfrm>
        <a:prstGeom prst="down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71006</xdr:colOff>
      <xdr:row>17</xdr:row>
      <xdr:rowOff>36368</xdr:rowOff>
    </xdr:from>
    <xdr:to>
      <xdr:col>31</xdr:col>
      <xdr:colOff>562842</xdr:colOff>
      <xdr:row>18</xdr:row>
      <xdr:rowOff>25977</xdr:rowOff>
    </xdr:to>
    <xdr:sp macro="" textlink="">
      <xdr:nvSpPr>
        <xdr:cNvPr id="187" name="Down Arrow 186">
          <a:extLst>
            <a:ext uri="{FF2B5EF4-FFF2-40B4-BE49-F238E27FC236}">
              <a16:creationId xmlns:a16="http://schemas.microsoft.com/office/drawing/2014/main" id="{00000000-0008-0000-0C00-0000BB000000}"/>
            </a:ext>
          </a:extLst>
        </xdr:cNvPr>
        <xdr:cNvSpPr/>
      </xdr:nvSpPr>
      <xdr:spPr>
        <a:xfrm>
          <a:off x="4296642" y="3430732"/>
          <a:ext cx="491836" cy="180109"/>
        </a:xfrm>
        <a:prstGeom prst="down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76</xdr:col>
      <xdr:colOff>394855</xdr:colOff>
      <xdr:row>17</xdr:row>
      <xdr:rowOff>57149</xdr:rowOff>
    </xdr:from>
    <xdr:to>
      <xdr:col>77</xdr:col>
      <xdr:colOff>39832</xdr:colOff>
      <xdr:row>18</xdr:row>
      <xdr:rowOff>31172</xdr:rowOff>
    </xdr:to>
    <xdr:sp macro="" textlink="">
      <xdr:nvSpPr>
        <xdr:cNvPr id="188" name="Down Arrow 187">
          <a:extLst>
            <a:ext uri="{FF2B5EF4-FFF2-40B4-BE49-F238E27FC236}">
              <a16:creationId xmlns:a16="http://schemas.microsoft.com/office/drawing/2014/main" id="{00000000-0008-0000-0C00-0000BC000000}"/>
            </a:ext>
          </a:extLst>
        </xdr:cNvPr>
        <xdr:cNvSpPr/>
      </xdr:nvSpPr>
      <xdr:spPr>
        <a:xfrm>
          <a:off x="9469582" y="3451513"/>
          <a:ext cx="277091" cy="164523"/>
        </a:xfrm>
        <a:prstGeom prst="down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75</xdr:col>
      <xdr:colOff>88323</xdr:colOff>
      <xdr:row>17</xdr:row>
      <xdr:rowOff>53686</xdr:rowOff>
    </xdr:from>
    <xdr:to>
      <xdr:col>76</xdr:col>
      <xdr:colOff>235528</xdr:colOff>
      <xdr:row>18</xdr:row>
      <xdr:rowOff>27709</xdr:rowOff>
    </xdr:to>
    <xdr:sp macro="" textlink="">
      <xdr:nvSpPr>
        <xdr:cNvPr id="189" name="Down Arrow 188">
          <a:extLst>
            <a:ext uri="{FF2B5EF4-FFF2-40B4-BE49-F238E27FC236}">
              <a16:creationId xmlns:a16="http://schemas.microsoft.com/office/drawing/2014/main" id="{00000000-0008-0000-0C00-0000BD000000}"/>
            </a:ext>
          </a:extLst>
        </xdr:cNvPr>
        <xdr:cNvSpPr/>
      </xdr:nvSpPr>
      <xdr:spPr>
        <a:xfrm>
          <a:off x="9033164" y="3448050"/>
          <a:ext cx="277091" cy="164523"/>
        </a:xfrm>
        <a:prstGeom prst="down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86</xdr:col>
      <xdr:colOff>391391</xdr:colOff>
      <xdr:row>17</xdr:row>
      <xdr:rowOff>53685</xdr:rowOff>
    </xdr:from>
    <xdr:to>
      <xdr:col>87</xdr:col>
      <xdr:colOff>36369</xdr:colOff>
      <xdr:row>18</xdr:row>
      <xdr:rowOff>27708</xdr:rowOff>
    </xdr:to>
    <xdr:sp macro="" textlink="">
      <xdr:nvSpPr>
        <xdr:cNvPr id="190" name="Down Arrow 189">
          <a:extLst>
            <a:ext uri="{FF2B5EF4-FFF2-40B4-BE49-F238E27FC236}">
              <a16:creationId xmlns:a16="http://schemas.microsoft.com/office/drawing/2014/main" id="{00000000-0008-0000-0C00-0000BE000000}"/>
            </a:ext>
          </a:extLst>
        </xdr:cNvPr>
        <xdr:cNvSpPr/>
      </xdr:nvSpPr>
      <xdr:spPr>
        <a:xfrm>
          <a:off x="11890664" y="3448049"/>
          <a:ext cx="277091" cy="164523"/>
        </a:xfrm>
        <a:prstGeom prst="down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85</xdr:col>
      <xdr:colOff>84860</xdr:colOff>
      <xdr:row>17</xdr:row>
      <xdr:rowOff>50222</xdr:rowOff>
    </xdr:from>
    <xdr:to>
      <xdr:col>86</xdr:col>
      <xdr:colOff>232064</xdr:colOff>
      <xdr:row>18</xdr:row>
      <xdr:rowOff>24245</xdr:rowOff>
    </xdr:to>
    <xdr:sp macro="" textlink="">
      <xdr:nvSpPr>
        <xdr:cNvPr id="191" name="Down Arrow 190">
          <a:extLst>
            <a:ext uri="{FF2B5EF4-FFF2-40B4-BE49-F238E27FC236}">
              <a16:creationId xmlns:a16="http://schemas.microsoft.com/office/drawing/2014/main" id="{00000000-0008-0000-0C00-0000BF000000}"/>
            </a:ext>
          </a:extLst>
        </xdr:cNvPr>
        <xdr:cNvSpPr/>
      </xdr:nvSpPr>
      <xdr:spPr>
        <a:xfrm>
          <a:off x="11454246" y="3444586"/>
          <a:ext cx="277091" cy="164523"/>
        </a:xfrm>
        <a:prstGeom prst="down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106</xdr:col>
      <xdr:colOff>396586</xdr:colOff>
      <xdr:row>17</xdr:row>
      <xdr:rowOff>67539</xdr:rowOff>
    </xdr:from>
    <xdr:to>
      <xdr:col>107</xdr:col>
      <xdr:colOff>41564</xdr:colOff>
      <xdr:row>18</xdr:row>
      <xdr:rowOff>41562</xdr:rowOff>
    </xdr:to>
    <xdr:sp macro="" textlink="">
      <xdr:nvSpPr>
        <xdr:cNvPr id="192" name="Down Arrow 191">
          <a:extLst>
            <a:ext uri="{FF2B5EF4-FFF2-40B4-BE49-F238E27FC236}">
              <a16:creationId xmlns:a16="http://schemas.microsoft.com/office/drawing/2014/main" id="{00000000-0008-0000-0C00-0000C0000000}"/>
            </a:ext>
          </a:extLst>
        </xdr:cNvPr>
        <xdr:cNvSpPr/>
      </xdr:nvSpPr>
      <xdr:spPr>
        <a:xfrm>
          <a:off x="16744950" y="3461903"/>
          <a:ext cx="277091" cy="164523"/>
        </a:xfrm>
        <a:prstGeom prst="down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105</xdr:col>
      <xdr:colOff>90055</xdr:colOff>
      <xdr:row>17</xdr:row>
      <xdr:rowOff>64076</xdr:rowOff>
    </xdr:from>
    <xdr:to>
      <xdr:col>106</xdr:col>
      <xdr:colOff>237259</xdr:colOff>
      <xdr:row>18</xdr:row>
      <xdr:rowOff>38099</xdr:rowOff>
    </xdr:to>
    <xdr:sp macro="" textlink="">
      <xdr:nvSpPr>
        <xdr:cNvPr id="193" name="Down Arrow 192">
          <a:extLst>
            <a:ext uri="{FF2B5EF4-FFF2-40B4-BE49-F238E27FC236}">
              <a16:creationId xmlns:a16="http://schemas.microsoft.com/office/drawing/2014/main" id="{00000000-0008-0000-0C00-0000C1000000}"/>
            </a:ext>
          </a:extLst>
        </xdr:cNvPr>
        <xdr:cNvSpPr/>
      </xdr:nvSpPr>
      <xdr:spPr>
        <a:xfrm>
          <a:off x="16308532" y="3458440"/>
          <a:ext cx="277091" cy="164523"/>
        </a:xfrm>
        <a:prstGeom prst="down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116</xdr:col>
      <xdr:colOff>393123</xdr:colOff>
      <xdr:row>17</xdr:row>
      <xdr:rowOff>81393</xdr:rowOff>
    </xdr:from>
    <xdr:to>
      <xdr:col>117</xdr:col>
      <xdr:colOff>38100</xdr:colOff>
      <xdr:row>18</xdr:row>
      <xdr:rowOff>55416</xdr:rowOff>
    </xdr:to>
    <xdr:sp macro="" textlink="">
      <xdr:nvSpPr>
        <xdr:cNvPr id="194" name="Down Arrow 193">
          <a:extLst>
            <a:ext uri="{FF2B5EF4-FFF2-40B4-BE49-F238E27FC236}">
              <a16:creationId xmlns:a16="http://schemas.microsoft.com/office/drawing/2014/main" id="{00000000-0008-0000-0C00-0000C2000000}"/>
            </a:ext>
          </a:extLst>
        </xdr:cNvPr>
        <xdr:cNvSpPr/>
      </xdr:nvSpPr>
      <xdr:spPr>
        <a:xfrm>
          <a:off x="19166032" y="3475757"/>
          <a:ext cx="277091" cy="164523"/>
        </a:xfrm>
        <a:prstGeom prst="downArrow">
          <a:avLst/>
        </a:prstGeom>
        <a:solidFill>
          <a:srgbClr val="FFC000"/>
        </a:soli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115</xdr:col>
      <xdr:colOff>86591</xdr:colOff>
      <xdr:row>17</xdr:row>
      <xdr:rowOff>77930</xdr:rowOff>
    </xdr:from>
    <xdr:to>
      <xdr:col>116</xdr:col>
      <xdr:colOff>233796</xdr:colOff>
      <xdr:row>18</xdr:row>
      <xdr:rowOff>51953</xdr:rowOff>
    </xdr:to>
    <xdr:sp macro="" textlink="">
      <xdr:nvSpPr>
        <xdr:cNvPr id="195" name="Down Arrow 194">
          <a:extLst>
            <a:ext uri="{FF2B5EF4-FFF2-40B4-BE49-F238E27FC236}">
              <a16:creationId xmlns:a16="http://schemas.microsoft.com/office/drawing/2014/main" id="{00000000-0008-0000-0C00-0000C3000000}"/>
            </a:ext>
          </a:extLst>
        </xdr:cNvPr>
        <xdr:cNvSpPr/>
      </xdr:nvSpPr>
      <xdr:spPr>
        <a:xfrm>
          <a:off x="18729614" y="3472294"/>
          <a:ext cx="277091" cy="164523"/>
        </a:xfrm>
        <a:prstGeom prst="downArrow">
          <a:avLst/>
        </a:prstGeom>
        <a:solidFill>
          <a:srgbClr val="FFC000"/>
        </a:soli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125</xdr:col>
      <xdr:colOff>95250</xdr:colOff>
      <xdr:row>17</xdr:row>
      <xdr:rowOff>129884</xdr:rowOff>
    </xdr:from>
    <xdr:to>
      <xdr:col>126</xdr:col>
      <xdr:colOff>242454</xdr:colOff>
      <xdr:row>18</xdr:row>
      <xdr:rowOff>103907</xdr:rowOff>
    </xdr:to>
    <xdr:sp macro="" textlink="">
      <xdr:nvSpPr>
        <xdr:cNvPr id="196" name="Down Arrow 195">
          <a:extLst>
            <a:ext uri="{FF2B5EF4-FFF2-40B4-BE49-F238E27FC236}">
              <a16:creationId xmlns:a16="http://schemas.microsoft.com/office/drawing/2014/main" id="{00000000-0008-0000-0C00-0000C4000000}"/>
            </a:ext>
          </a:extLst>
        </xdr:cNvPr>
        <xdr:cNvSpPr/>
      </xdr:nvSpPr>
      <xdr:spPr>
        <a:xfrm>
          <a:off x="21162818" y="3524248"/>
          <a:ext cx="277091" cy="164523"/>
        </a:xfrm>
        <a:prstGeom prst="downArrow">
          <a:avLst/>
        </a:prstGeom>
        <a:solidFill>
          <a:srgbClr val="FFC000"/>
        </a:soli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126</xdr:col>
      <xdr:colOff>386195</xdr:colOff>
      <xdr:row>17</xdr:row>
      <xdr:rowOff>135079</xdr:rowOff>
    </xdr:from>
    <xdr:to>
      <xdr:col>127</xdr:col>
      <xdr:colOff>31173</xdr:colOff>
      <xdr:row>18</xdr:row>
      <xdr:rowOff>109102</xdr:rowOff>
    </xdr:to>
    <xdr:sp macro="" textlink="">
      <xdr:nvSpPr>
        <xdr:cNvPr id="197" name="Down Arrow 196">
          <a:extLst>
            <a:ext uri="{FF2B5EF4-FFF2-40B4-BE49-F238E27FC236}">
              <a16:creationId xmlns:a16="http://schemas.microsoft.com/office/drawing/2014/main" id="{00000000-0008-0000-0C00-0000C5000000}"/>
            </a:ext>
          </a:extLst>
        </xdr:cNvPr>
        <xdr:cNvSpPr/>
      </xdr:nvSpPr>
      <xdr:spPr>
        <a:xfrm>
          <a:off x="21583650" y="3529443"/>
          <a:ext cx="277091" cy="164523"/>
        </a:xfrm>
        <a:prstGeom prst="downArrow">
          <a:avLst/>
        </a:prstGeom>
        <a:solidFill>
          <a:srgbClr val="FFC000"/>
        </a:soli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135</xdr:col>
      <xdr:colOff>91786</xdr:colOff>
      <xdr:row>17</xdr:row>
      <xdr:rowOff>31171</xdr:rowOff>
    </xdr:from>
    <xdr:to>
      <xdr:col>136</xdr:col>
      <xdr:colOff>238991</xdr:colOff>
      <xdr:row>18</xdr:row>
      <xdr:rowOff>5194</xdr:rowOff>
    </xdr:to>
    <xdr:sp macro="" textlink="">
      <xdr:nvSpPr>
        <xdr:cNvPr id="198" name="Down Arrow 197">
          <a:extLst>
            <a:ext uri="{FF2B5EF4-FFF2-40B4-BE49-F238E27FC236}">
              <a16:creationId xmlns:a16="http://schemas.microsoft.com/office/drawing/2014/main" id="{00000000-0008-0000-0C00-0000C6000000}"/>
            </a:ext>
          </a:extLst>
        </xdr:cNvPr>
        <xdr:cNvSpPr/>
      </xdr:nvSpPr>
      <xdr:spPr>
        <a:xfrm>
          <a:off x="23583900" y="3425535"/>
          <a:ext cx="277091" cy="164523"/>
        </a:xfrm>
        <a:prstGeom prst="downArrow">
          <a:avLst/>
        </a:prstGeom>
        <a:solidFill>
          <a:srgbClr val="FFC000"/>
        </a:soli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136</xdr:col>
      <xdr:colOff>382732</xdr:colOff>
      <xdr:row>17</xdr:row>
      <xdr:rowOff>36366</xdr:rowOff>
    </xdr:from>
    <xdr:to>
      <xdr:col>137</xdr:col>
      <xdr:colOff>27709</xdr:colOff>
      <xdr:row>18</xdr:row>
      <xdr:rowOff>10389</xdr:rowOff>
    </xdr:to>
    <xdr:sp macro="" textlink="">
      <xdr:nvSpPr>
        <xdr:cNvPr id="199" name="Down Arrow 198">
          <a:extLst>
            <a:ext uri="{FF2B5EF4-FFF2-40B4-BE49-F238E27FC236}">
              <a16:creationId xmlns:a16="http://schemas.microsoft.com/office/drawing/2014/main" id="{00000000-0008-0000-0C00-0000C7000000}"/>
            </a:ext>
          </a:extLst>
        </xdr:cNvPr>
        <xdr:cNvSpPr/>
      </xdr:nvSpPr>
      <xdr:spPr>
        <a:xfrm>
          <a:off x="24004732" y="3430730"/>
          <a:ext cx="277091" cy="164523"/>
        </a:xfrm>
        <a:prstGeom prst="downArrow">
          <a:avLst/>
        </a:prstGeom>
        <a:solidFill>
          <a:srgbClr val="FFC000"/>
        </a:soli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145</xdr:col>
      <xdr:colOff>88323</xdr:colOff>
      <xdr:row>17</xdr:row>
      <xdr:rowOff>27708</xdr:rowOff>
    </xdr:from>
    <xdr:to>
      <xdr:col>146</xdr:col>
      <xdr:colOff>235528</xdr:colOff>
      <xdr:row>18</xdr:row>
      <xdr:rowOff>1731</xdr:rowOff>
    </xdr:to>
    <xdr:sp macro="" textlink="">
      <xdr:nvSpPr>
        <xdr:cNvPr id="200" name="Down Arrow 199">
          <a:extLst>
            <a:ext uri="{FF2B5EF4-FFF2-40B4-BE49-F238E27FC236}">
              <a16:creationId xmlns:a16="http://schemas.microsoft.com/office/drawing/2014/main" id="{00000000-0008-0000-0C00-0000C8000000}"/>
            </a:ext>
          </a:extLst>
        </xdr:cNvPr>
        <xdr:cNvSpPr/>
      </xdr:nvSpPr>
      <xdr:spPr>
        <a:xfrm>
          <a:off x="26004982" y="3422072"/>
          <a:ext cx="277091" cy="164523"/>
        </a:xfrm>
        <a:prstGeom prst="downArrow">
          <a:avLst/>
        </a:prstGeom>
        <a:solidFill>
          <a:srgbClr val="FFC000"/>
        </a:soli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146</xdr:col>
      <xdr:colOff>379269</xdr:colOff>
      <xdr:row>17</xdr:row>
      <xdr:rowOff>32903</xdr:rowOff>
    </xdr:from>
    <xdr:to>
      <xdr:col>147</xdr:col>
      <xdr:colOff>24246</xdr:colOff>
      <xdr:row>18</xdr:row>
      <xdr:rowOff>6926</xdr:rowOff>
    </xdr:to>
    <xdr:sp macro="" textlink="">
      <xdr:nvSpPr>
        <xdr:cNvPr id="201" name="Down Arrow 200">
          <a:extLst>
            <a:ext uri="{FF2B5EF4-FFF2-40B4-BE49-F238E27FC236}">
              <a16:creationId xmlns:a16="http://schemas.microsoft.com/office/drawing/2014/main" id="{00000000-0008-0000-0C00-0000C9000000}"/>
            </a:ext>
          </a:extLst>
        </xdr:cNvPr>
        <xdr:cNvSpPr/>
      </xdr:nvSpPr>
      <xdr:spPr>
        <a:xfrm>
          <a:off x="26425814" y="3427267"/>
          <a:ext cx="277091" cy="164523"/>
        </a:xfrm>
        <a:prstGeom prst="downArrow">
          <a:avLst/>
        </a:prstGeom>
        <a:solidFill>
          <a:srgbClr val="FFC000"/>
        </a:soli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86</xdr:col>
      <xdr:colOff>625398</xdr:colOff>
      <xdr:row>41</xdr:row>
      <xdr:rowOff>6495</xdr:rowOff>
    </xdr:from>
    <xdr:to>
      <xdr:col>88</xdr:col>
      <xdr:colOff>103533</xdr:colOff>
      <xdr:row>42</xdr:row>
      <xdr:rowOff>10578</xdr:rowOff>
    </xdr:to>
    <xdr:grpSp>
      <xdr:nvGrpSpPr>
        <xdr:cNvPr id="202" name="Group 201">
          <a:extLst>
            <a:ext uri="{FF2B5EF4-FFF2-40B4-BE49-F238E27FC236}">
              <a16:creationId xmlns:a16="http://schemas.microsoft.com/office/drawing/2014/main" id="{00000000-0008-0000-0C00-0000CA000000}"/>
            </a:ext>
          </a:extLst>
        </xdr:cNvPr>
        <xdr:cNvGrpSpPr/>
      </xdr:nvGrpSpPr>
      <xdr:grpSpPr>
        <a:xfrm flipH="1">
          <a:off x="37268154" y="7830021"/>
          <a:ext cx="275956" cy="207608"/>
          <a:chOff x="2333862" y="6389847"/>
          <a:chExt cx="224793" cy="219551"/>
        </a:xfrm>
      </xdr:grpSpPr>
      <xdr:sp macro="" textlink="">
        <xdr:nvSpPr>
          <xdr:cNvPr id="203" name="Isosceles Triangle 202">
            <a:extLst>
              <a:ext uri="{FF2B5EF4-FFF2-40B4-BE49-F238E27FC236}">
                <a16:creationId xmlns:a16="http://schemas.microsoft.com/office/drawing/2014/main" id="{00000000-0008-0000-0C00-0000CB000000}"/>
              </a:ext>
            </a:extLst>
          </xdr:cNvPr>
          <xdr:cNvSpPr/>
        </xdr:nvSpPr>
        <xdr:spPr>
          <a:xfrm rot="16200000">
            <a:off x="2418042" y="6302096"/>
            <a:ext cx="45719" cy="221221"/>
          </a:xfrm>
          <a:prstGeom prst="triangl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04" name="Isosceles Triangle 203">
            <a:extLst>
              <a:ext uri="{FF2B5EF4-FFF2-40B4-BE49-F238E27FC236}">
                <a16:creationId xmlns:a16="http://schemas.microsoft.com/office/drawing/2014/main" id="{00000000-0008-0000-0C00-0000CC000000}"/>
              </a:ext>
            </a:extLst>
          </xdr:cNvPr>
          <xdr:cNvSpPr/>
        </xdr:nvSpPr>
        <xdr:spPr>
          <a:xfrm rot="16200000">
            <a:off x="2421614" y="6359247"/>
            <a:ext cx="45719" cy="221221"/>
          </a:xfrm>
          <a:prstGeom prst="triangl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05" name="Isosceles Triangle 204">
            <a:extLst>
              <a:ext uri="{FF2B5EF4-FFF2-40B4-BE49-F238E27FC236}">
                <a16:creationId xmlns:a16="http://schemas.microsoft.com/office/drawing/2014/main" id="{00000000-0008-0000-0C00-0000CD000000}"/>
              </a:ext>
            </a:extLst>
          </xdr:cNvPr>
          <xdr:cNvSpPr/>
        </xdr:nvSpPr>
        <xdr:spPr>
          <a:xfrm rot="16200000">
            <a:off x="2421613" y="6418777"/>
            <a:ext cx="45719" cy="221221"/>
          </a:xfrm>
          <a:prstGeom prst="triangl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06" name="Isosceles Triangle 205">
            <a:extLst>
              <a:ext uri="{FF2B5EF4-FFF2-40B4-BE49-F238E27FC236}">
                <a16:creationId xmlns:a16="http://schemas.microsoft.com/office/drawing/2014/main" id="{00000000-0008-0000-0C00-0000CE000000}"/>
              </a:ext>
            </a:extLst>
          </xdr:cNvPr>
          <xdr:cNvSpPr/>
        </xdr:nvSpPr>
        <xdr:spPr>
          <a:xfrm rot="16200000">
            <a:off x="2419232" y="6475928"/>
            <a:ext cx="45719" cy="221221"/>
          </a:xfrm>
          <a:prstGeom prst="triangl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84</xdr:col>
      <xdr:colOff>8660</xdr:colOff>
      <xdr:row>40</xdr:row>
      <xdr:rowOff>190500</xdr:rowOff>
    </xdr:from>
    <xdr:to>
      <xdr:col>86</xdr:col>
      <xdr:colOff>7057</xdr:colOff>
      <xdr:row>42</xdr:row>
      <xdr:rowOff>0</xdr:rowOff>
    </xdr:to>
    <xdr:grpSp>
      <xdr:nvGrpSpPr>
        <xdr:cNvPr id="207" name="Group 206">
          <a:extLst>
            <a:ext uri="{FF2B5EF4-FFF2-40B4-BE49-F238E27FC236}">
              <a16:creationId xmlns:a16="http://schemas.microsoft.com/office/drawing/2014/main" id="{00000000-0008-0000-0C00-0000CF000000}"/>
            </a:ext>
          </a:extLst>
        </xdr:cNvPr>
        <xdr:cNvGrpSpPr/>
      </xdr:nvGrpSpPr>
      <xdr:grpSpPr>
        <a:xfrm>
          <a:off x="36382763" y="7826782"/>
          <a:ext cx="267050" cy="200269"/>
          <a:chOff x="2333862" y="6389847"/>
          <a:chExt cx="224793" cy="219551"/>
        </a:xfrm>
      </xdr:grpSpPr>
      <xdr:sp macro="" textlink="">
        <xdr:nvSpPr>
          <xdr:cNvPr id="208" name="Isosceles Triangle 207">
            <a:extLst>
              <a:ext uri="{FF2B5EF4-FFF2-40B4-BE49-F238E27FC236}">
                <a16:creationId xmlns:a16="http://schemas.microsoft.com/office/drawing/2014/main" id="{00000000-0008-0000-0C00-0000D0000000}"/>
              </a:ext>
            </a:extLst>
          </xdr:cNvPr>
          <xdr:cNvSpPr/>
        </xdr:nvSpPr>
        <xdr:spPr>
          <a:xfrm rot="16200000">
            <a:off x="2418042" y="6302096"/>
            <a:ext cx="45719" cy="221221"/>
          </a:xfrm>
          <a:prstGeom prst="triangl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09" name="Isosceles Triangle 208">
            <a:extLst>
              <a:ext uri="{FF2B5EF4-FFF2-40B4-BE49-F238E27FC236}">
                <a16:creationId xmlns:a16="http://schemas.microsoft.com/office/drawing/2014/main" id="{00000000-0008-0000-0C00-0000D1000000}"/>
              </a:ext>
            </a:extLst>
          </xdr:cNvPr>
          <xdr:cNvSpPr/>
        </xdr:nvSpPr>
        <xdr:spPr>
          <a:xfrm rot="16200000">
            <a:off x="2421614" y="6359247"/>
            <a:ext cx="45719" cy="221221"/>
          </a:xfrm>
          <a:prstGeom prst="triangl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10" name="Isosceles Triangle 209">
            <a:extLst>
              <a:ext uri="{FF2B5EF4-FFF2-40B4-BE49-F238E27FC236}">
                <a16:creationId xmlns:a16="http://schemas.microsoft.com/office/drawing/2014/main" id="{00000000-0008-0000-0C00-0000D2000000}"/>
              </a:ext>
            </a:extLst>
          </xdr:cNvPr>
          <xdr:cNvSpPr/>
        </xdr:nvSpPr>
        <xdr:spPr>
          <a:xfrm rot="16200000">
            <a:off x="2421613" y="6418777"/>
            <a:ext cx="45719" cy="221221"/>
          </a:xfrm>
          <a:prstGeom prst="triangl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11" name="Isosceles Triangle 210">
            <a:extLst>
              <a:ext uri="{FF2B5EF4-FFF2-40B4-BE49-F238E27FC236}">
                <a16:creationId xmlns:a16="http://schemas.microsoft.com/office/drawing/2014/main" id="{00000000-0008-0000-0C00-0000D3000000}"/>
              </a:ext>
            </a:extLst>
          </xdr:cNvPr>
          <xdr:cNvSpPr/>
        </xdr:nvSpPr>
        <xdr:spPr>
          <a:xfrm rot="16200000">
            <a:off x="2419232" y="6475928"/>
            <a:ext cx="45719" cy="221221"/>
          </a:xfrm>
          <a:prstGeom prst="triangl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 editAs="oneCell">
    <xdr:from>
      <xdr:col>21</xdr:col>
      <xdr:colOff>146538</xdr:colOff>
      <xdr:row>14</xdr:row>
      <xdr:rowOff>95083</xdr:rowOff>
    </xdr:from>
    <xdr:to>
      <xdr:col>25</xdr:col>
      <xdr:colOff>483095</xdr:colOff>
      <xdr:row>28</xdr:row>
      <xdr:rowOff>59864</xdr:rowOff>
    </xdr:to>
    <xdr:pic>
      <xdr:nvPicPr>
        <xdr:cNvPr id="212" name="Picture 211">
          <a:extLst>
            <a:ext uri="{FF2B5EF4-FFF2-40B4-BE49-F238E27FC236}">
              <a16:creationId xmlns:a16="http://schemas.microsoft.com/office/drawing/2014/main" id="{8BD8B5C9-A498-4F33-94AA-0CD63954C3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606410" y="2863032"/>
          <a:ext cx="2778864" cy="258619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3</xdr:row>
      <xdr:rowOff>57150</xdr:rowOff>
    </xdr:from>
    <xdr:ext cx="2400300" cy="18478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470" r="9117" b="7165"/>
        <a:stretch/>
      </xdr:blipFill>
      <xdr:spPr>
        <a:xfrm>
          <a:off x="657225" y="771525"/>
          <a:ext cx="2400300" cy="1847850"/>
        </a:xfrm>
        <a:prstGeom prst="rect">
          <a:avLst/>
        </a:prstGeom>
      </xdr:spPr>
    </xdr:pic>
    <xdr:clientData/>
  </xdr:oneCellAnchor>
  <xdr:twoCellAnchor editAs="oneCell">
    <xdr:from>
      <xdr:col>5</xdr:col>
      <xdr:colOff>25977</xdr:colOff>
      <xdr:row>35</xdr:row>
      <xdr:rowOff>86591</xdr:rowOff>
    </xdr:from>
    <xdr:to>
      <xdr:col>5</xdr:col>
      <xdr:colOff>606138</xdr:colOff>
      <xdr:row>38</xdr:row>
      <xdr:rowOff>181841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73696" t="20003" r="12097" b="23625"/>
        <a:stretch/>
      </xdr:blipFill>
      <xdr:spPr>
        <a:xfrm>
          <a:off x="1226127" y="6916016"/>
          <a:ext cx="580161" cy="66675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13</xdr:row>
      <xdr:rowOff>25977</xdr:rowOff>
    </xdr:from>
    <xdr:to>
      <xdr:col>10</xdr:col>
      <xdr:colOff>285750</xdr:colOff>
      <xdr:row>16</xdr:row>
      <xdr:rowOff>43295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GrpSpPr/>
      </xdr:nvGrpSpPr>
      <xdr:grpSpPr>
        <a:xfrm>
          <a:off x="2154020" y="2603330"/>
          <a:ext cx="634377" cy="577612"/>
          <a:chOff x="1480705" y="2363932"/>
          <a:chExt cx="623454" cy="588818"/>
        </a:xfrm>
      </xdr:grpSpPr>
      <xdr:pic>
        <xdr:nvPicPr>
          <xdr:cNvPr id="5" name="Picture 4" descr="Image result for pressure gauge">
            <a:extLst>
              <a:ext uri="{FF2B5EF4-FFF2-40B4-BE49-F238E27FC236}">
                <a16:creationId xmlns:a16="http://schemas.microsoft.com/office/drawing/2014/main" id="{00000000-0008-0000-0D00-000005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2180" t="3639" r="11998" b="3578"/>
          <a:stretch/>
        </xdr:blipFill>
        <xdr:spPr bwMode="auto">
          <a:xfrm>
            <a:off x="1625023" y="2363932"/>
            <a:ext cx="479136" cy="58881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cxnSp macro="">
        <xdr:nvCxnSpPr>
          <xdr:cNvPr id="6" name="Straight Connector 5">
            <a:extLst>
              <a:ext uri="{FF2B5EF4-FFF2-40B4-BE49-F238E27FC236}">
                <a16:creationId xmlns:a16="http://schemas.microsoft.com/office/drawing/2014/main" id="{00000000-0008-0000-0D00-000006000000}"/>
              </a:ext>
            </a:extLst>
          </xdr:cNvPr>
          <xdr:cNvCxnSpPr/>
        </xdr:nvCxnSpPr>
        <xdr:spPr>
          <a:xfrm>
            <a:off x="1480705" y="2935433"/>
            <a:ext cx="398318" cy="0"/>
          </a:xfrm>
          <a:prstGeom prst="line">
            <a:avLst/>
          </a:prstGeom>
          <a:ln w="60325">
            <a:solidFill>
              <a:schemeClr val="accent2">
                <a:lumMod val="7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oneCellAnchor>
    <xdr:from>
      <xdr:col>27</xdr:col>
      <xdr:colOff>219075</xdr:colOff>
      <xdr:row>3</xdr:row>
      <xdr:rowOff>57150</xdr:rowOff>
    </xdr:from>
    <xdr:ext cx="1932214" cy="1870528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470" r="9117" b="7165"/>
        <a:stretch/>
      </xdr:blipFill>
      <xdr:spPr>
        <a:xfrm>
          <a:off x="10544175" y="771525"/>
          <a:ext cx="1932214" cy="1870528"/>
        </a:xfrm>
        <a:prstGeom prst="rect">
          <a:avLst/>
        </a:prstGeom>
      </xdr:spPr>
    </xdr:pic>
    <xdr:clientData/>
  </xdr:oneCellAnchor>
  <xdr:twoCellAnchor>
    <xdr:from>
      <xdr:col>34</xdr:col>
      <xdr:colOff>1</xdr:colOff>
      <xdr:row>12</xdr:row>
      <xdr:rowOff>181841</xdr:rowOff>
    </xdr:from>
    <xdr:to>
      <xdr:col>36</xdr:col>
      <xdr:colOff>285750</xdr:colOff>
      <xdr:row>16</xdr:row>
      <xdr:rowOff>8659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GrpSpPr/>
      </xdr:nvGrpSpPr>
      <xdr:grpSpPr>
        <a:xfrm>
          <a:off x="14418236" y="2572429"/>
          <a:ext cx="634377" cy="573877"/>
          <a:chOff x="1480705" y="2363932"/>
          <a:chExt cx="623454" cy="588818"/>
        </a:xfrm>
      </xdr:grpSpPr>
      <xdr:pic>
        <xdr:nvPicPr>
          <xdr:cNvPr id="12" name="Picture 11" descr="Image result for pressure gauge">
            <a:extLst>
              <a:ext uri="{FF2B5EF4-FFF2-40B4-BE49-F238E27FC236}">
                <a16:creationId xmlns:a16="http://schemas.microsoft.com/office/drawing/2014/main" id="{00000000-0008-0000-0D00-00000C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2180" t="3639" r="11998" b="3578"/>
          <a:stretch/>
        </xdr:blipFill>
        <xdr:spPr bwMode="auto">
          <a:xfrm>
            <a:off x="1625023" y="2363932"/>
            <a:ext cx="479136" cy="58881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cxnSp macro="">
        <xdr:nvCxnSpPr>
          <xdr:cNvPr id="13" name="Straight Connector 12">
            <a:extLst>
              <a:ext uri="{FF2B5EF4-FFF2-40B4-BE49-F238E27FC236}">
                <a16:creationId xmlns:a16="http://schemas.microsoft.com/office/drawing/2014/main" id="{00000000-0008-0000-0D00-00000D000000}"/>
              </a:ext>
            </a:extLst>
          </xdr:cNvPr>
          <xdr:cNvCxnSpPr/>
        </xdr:nvCxnSpPr>
        <xdr:spPr>
          <a:xfrm>
            <a:off x="1480705" y="2935433"/>
            <a:ext cx="398318" cy="0"/>
          </a:xfrm>
          <a:prstGeom prst="line">
            <a:avLst/>
          </a:prstGeom>
          <a:ln w="60325">
            <a:solidFill>
              <a:schemeClr val="accent2">
                <a:lumMod val="7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oneCellAnchor>
    <xdr:from>
      <xdr:col>37</xdr:col>
      <xdr:colOff>219075</xdr:colOff>
      <xdr:row>3</xdr:row>
      <xdr:rowOff>57150</xdr:rowOff>
    </xdr:from>
    <xdr:ext cx="1913659" cy="1847850"/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470" r="9117" b="7165"/>
        <a:stretch/>
      </xdr:blipFill>
      <xdr:spPr>
        <a:xfrm>
          <a:off x="17830800" y="771525"/>
          <a:ext cx="1913659" cy="1847850"/>
        </a:xfrm>
        <a:prstGeom prst="rect">
          <a:avLst/>
        </a:prstGeom>
      </xdr:spPr>
    </xdr:pic>
    <xdr:clientData/>
  </xdr:oneCellAnchor>
  <xdr:twoCellAnchor>
    <xdr:from>
      <xdr:col>41</xdr:col>
      <xdr:colOff>209551</xdr:colOff>
      <xdr:row>2</xdr:row>
      <xdr:rowOff>65485</xdr:rowOff>
    </xdr:from>
    <xdr:to>
      <xdr:col>41</xdr:col>
      <xdr:colOff>419100</xdr:colOff>
      <xdr:row>33</xdr:row>
      <xdr:rowOff>173182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SpPr/>
      </xdr:nvSpPr>
      <xdr:spPr>
        <a:xfrm>
          <a:off x="18411826" y="541735"/>
          <a:ext cx="209549" cy="6079872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42</xdr:col>
      <xdr:colOff>6927</xdr:colOff>
      <xdr:row>34</xdr:row>
      <xdr:rowOff>0</xdr:rowOff>
    </xdr:from>
    <xdr:to>
      <xdr:col>43</xdr:col>
      <xdr:colOff>117529</xdr:colOff>
      <xdr:row>35</xdr:row>
      <xdr:rowOff>185024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00000000-0008-0000-0D00-000010000000}"/>
            </a:ext>
          </a:extLst>
        </xdr:cNvPr>
        <xdr:cNvGrpSpPr/>
      </xdr:nvGrpSpPr>
      <xdr:grpSpPr>
        <a:xfrm flipH="1">
          <a:off x="16653888" y="6499412"/>
          <a:ext cx="247563" cy="371788"/>
          <a:chOff x="2332671" y="6377940"/>
          <a:chExt cx="228366" cy="375524"/>
        </a:xfrm>
      </xdr:grpSpPr>
      <xdr:grpSp>
        <xdr:nvGrpSpPr>
          <xdr:cNvPr id="17" name="Group 16">
            <a:extLst>
              <a:ext uri="{FF2B5EF4-FFF2-40B4-BE49-F238E27FC236}">
                <a16:creationId xmlns:a16="http://schemas.microsoft.com/office/drawing/2014/main" id="{00000000-0008-0000-0D00-000011000000}"/>
              </a:ext>
            </a:extLst>
          </xdr:cNvPr>
          <xdr:cNvGrpSpPr/>
        </xdr:nvGrpSpPr>
        <xdr:grpSpPr>
          <a:xfrm>
            <a:off x="2336244" y="6377940"/>
            <a:ext cx="224793" cy="219551"/>
            <a:chOff x="2333862" y="6389847"/>
            <a:chExt cx="224793" cy="219551"/>
          </a:xfrm>
        </xdr:grpSpPr>
        <xdr:sp macro="" textlink="">
          <xdr:nvSpPr>
            <xdr:cNvPr id="22" name="Isosceles Triangle 21">
              <a:extLst>
                <a:ext uri="{FF2B5EF4-FFF2-40B4-BE49-F238E27FC236}">
                  <a16:creationId xmlns:a16="http://schemas.microsoft.com/office/drawing/2014/main" id="{00000000-0008-0000-0D00-000016000000}"/>
                </a:ext>
              </a:extLst>
            </xdr:cNvPr>
            <xdr:cNvSpPr/>
          </xdr:nvSpPr>
          <xdr:spPr>
            <a:xfrm rot="16200000">
              <a:off x="2418042" y="6302096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3" name="Isosceles Triangle 22">
              <a:extLst>
                <a:ext uri="{FF2B5EF4-FFF2-40B4-BE49-F238E27FC236}">
                  <a16:creationId xmlns:a16="http://schemas.microsoft.com/office/drawing/2014/main" id="{00000000-0008-0000-0D00-000017000000}"/>
                </a:ext>
              </a:extLst>
            </xdr:cNvPr>
            <xdr:cNvSpPr/>
          </xdr:nvSpPr>
          <xdr:spPr>
            <a:xfrm rot="16200000">
              <a:off x="2421614" y="6359247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4" name="Isosceles Triangle 23">
              <a:extLst>
                <a:ext uri="{FF2B5EF4-FFF2-40B4-BE49-F238E27FC236}">
                  <a16:creationId xmlns:a16="http://schemas.microsoft.com/office/drawing/2014/main" id="{00000000-0008-0000-0D00-000018000000}"/>
                </a:ext>
              </a:extLst>
            </xdr:cNvPr>
            <xdr:cNvSpPr/>
          </xdr:nvSpPr>
          <xdr:spPr>
            <a:xfrm rot="16200000">
              <a:off x="2421613" y="6418777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5" name="Isosceles Triangle 24">
              <a:extLst>
                <a:ext uri="{FF2B5EF4-FFF2-40B4-BE49-F238E27FC236}">
                  <a16:creationId xmlns:a16="http://schemas.microsoft.com/office/drawing/2014/main" id="{00000000-0008-0000-0D00-000019000000}"/>
                </a:ext>
              </a:extLst>
            </xdr:cNvPr>
            <xdr:cNvSpPr/>
          </xdr:nvSpPr>
          <xdr:spPr>
            <a:xfrm rot="16200000">
              <a:off x="2419232" y="6475928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18" name="Group 17">
            <a:extLst>
              <a:ext uri="{FF2B5EF4-FFF2-40B4-BE49-F238E27FC236}">
                <a16:creationId xmlns:a16="http://schemas.microsoft.com/office/drawing/2014/main" id="{00000000-0008-0000-0D00-000012000000}"/>
              </a:ext>
            </a:extLst>
          </xdr:cNvPr>
          <xdr:cNvGrpSpPr/>
        </xdr:nvGrpSpPr>
        <xdr:grpSpPr>
          <a:xfrm>
            <a:off x="2332671" y="6600589"/>
            <a:ext cx="223603" cy="152875"/>
            <a:chOff x="2332671" y="6600589"/>
            <a:chExt cx="223603" cy="152875"/>
          </a:xfrm>
        </xdr:grpSpPr>
        <xdr:sp macro="" textlink="">
          <xdr:nvSpPr>
            <xdr:cNvPr id="19" name="Isosceles Triangle 18">
              <a:extLst>
                <a:ext uri="{FF2B5EF4-FFF2-40B4-BE49-F238E27FC236}">
                  <a16:creationId xmlns:a16="http://schemas.microsoft.com/office/drawing/2014/main" id="{00000000-0008-0000-0D00-000013000000}"/>
                </a:ext>
              </a:extLst>
            </xdr:cNvPr>
            <xdr:cNvSpPr/>
          </xdr:nvSpPr>
          <xdr:spPr>
            <a:xfrm rot="16200000">
              <a:off x="2422804" y="6568797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0" name="Isosceles Triangle 19">
              <a:extLst>
                <a:ext uri="{FF2B5EF4-FFF2-40B4-BE49-F238E27FC236}">
                  <a16:creationId xmlns:a16="http://schemas.microsoft.com/office/drawing/2014/main" id="{00000000-0008-0000-0D00-000014000000}"/>
                </a:ext>
              </a:extLst>
            </xdr:cNvPr>
            <xdr:cNvSpPr/>
          </xdr:nvSpPr>
          <xdr:spPr>
            <a:xfrm rot="16200000">
              <a:off x="2420423" y="6619994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1" name="Isosceles Triangle 20">
              <a:extLst>
                <a:ext uri="{FF2B5EF4-FFF2-40B4-BE49-F238E27FC236}">
                  <a16:creationId xmlns:a16="http://schemas.microsoft.com/office/drawing/2014/main" id="{00000000-0008-0000-0D00-000015000000}"/>
                </a:ext>
              </a:extLst>
            </xdr:cNvPr>
            <xdr:cNvSpPr/>
          </xdr:nvSpPr>
          <xdr:spPr>
            <a:xfrm rot="16200000">
              <a:off x="2420422" y="6512838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</xdr:grpSp>
    <xdr:clientData/>
  </xdr:twoCellAnchor>
  <xdr:twoCellAnchor>
    <xdr:from>
      <xdr:col>39</xdr:col>
      <xdr:colOff>8660</xdr:colOff>
      <xdr:row>34</xdr:row>
      <xdr:rowOff>8659</xdr:rowOff>
    </xdr:from>
    <xdr:to>
      <xdr:col>41</xdr:col>
      <xdr:colOff>4962</xdr:colOff>
      <xdr:row>36</xdr:row>
      <xdr:rowOff>3183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GrpSpPr/>
      </xdr:nvGrpSpPr>
      <xdr:grpSpPr>
        <a:xfrm>
          <a:off x="15734248" y="6508071"/>
          <a:ext cx="257773" cy="368053"/>
          <a:chOff x="2332671" y="6377940"/>
          <a:chExt cx="228366" cy="375524"/>
        </a:xfrm>
      </xdr:grpSpPr>
      <xdr:grpSp>
        <xdr:nvGrpSpPr>
          <xdr:cNvPr id="27" name="Group 26">
            <a:extLst>
              <a:ext uri="{FF2B5EF4-FFF2-40B4-BE49-F238E27FC236}">
                <a16:creationId xmlns:a16="http://schemas.microsoft.com/office/drawing/2014/main" id="{00000000-0008-0000-0D00-00001B000000}"/>
              </a:ext>
            </a:extLst>
          </xdr:cNvPr>
          <xdr:cNvGrpSpPr/>
        </xdr:nvGrpSpPr>
        <xdr:grpSpPr>
          <a:xfrm>
            <a:off x="2336244" y="6377940"/>
            <a:ext cx="224793" cy="219551"/>
            <a:chOff x="2333862" y="6389847"/>
            <a:chExt cx="224793" cy="219551"/>
          </a:xfrm>
        </xdr:grpSpPr>
        <xdr:sp macro="" textlink="">
          <xdr:nvSpPr>
            <xdr:cNvPr id="32" name="Isosceles Triangle 31">
              <a:extLst>
                <a:ext uri="{FF2B5EF4-FFF2-40B4-BE49-F238E27FC236}">
                  <a16:creationId xmlns:a16="http://schemas.microsoft.com/office/drawing/2014/main" id="{00000000-0008-0000-0D00-000020000000}"/>
                </a:ext>
              </a:extLst>
            </xdr:cNvPr>
            <xdr:cNvSpPr/>
          </xdr:nvSpPr>
          <xdr:spPr>
            <a:xfrm rot="16200000">
              <a:off x="2418042" y="6302096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33" name="Isosceles Triangle 32">
              <a:extLst>
                <a:ext uri="{FF2B5EF4-FFF2-40B4-BE49-F238E27FC236}">
                  <a16:creationId xmlns:a16="http://schemas.microsoft.com/office/drawing/2014/main" id="{00000000-0008-0000-0D00-000021000000}"/>
                </a:ext>
              </a:extLst>
            </xdr:cNvPr>
            <xdr:cNvSpPr/>
          </xdr:nvSpPr>
          <xdr:spPr>
            <a:xfrm rot="16200000">
              <a:off x="2421614" y="6359247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34" name="Isosceles Triangle 33">
              <a:extLst>
                <a:ext uri="{FF2B5EF4-FFF2-40B4-BE49-F238E27FC236}">
                  <a16:creationId xmlns:a16="http://schemas.microsoft.com/office/drawing/2014/main" id="{00000000-0008-0000-0D00-000022000000}"/>
                </a:ext>
              </a:extLst>
            </xdr:cNvPr>
            <xdr:cNvSpPr/>
          </xdr:nvSpPr>
          <xdr:spPr>
            <a:xfrm rot="16200000">
              <a:off x="2421613" y="6418777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35" name="Isosceles Triangle 34">
              <a:extLst>
                <a:ext uri="{FF2B5EF4-FFF2-40B4-BE49-F238E27FC236}">
                  <a16:creationId xmlns:a16="http://schemas.microsoft.com/office/drawing/2014/main" id="{00000000-0008-0000-0D00-000023000000}"/>
                </a:ext>
              </a:extLst>
            </xdr:cNvPr>
            <xdr:cNvSpPr/>
          </xdr:nvSpPr>
          <xdr:spPr>
            <a:xfrm rot="16200000">
              <a:off x="2419232" y="6475928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28" name="Group 27">
            <a:extLst>
              <a:ext uri="{FF2B5EF4-FFF2-40B4-BE49-F238E27FC236}">
                <a16:creationId xmlns:a16="http://schemas.microsoft.com/office/drawing/2014/main" id="{00000000-0008-0000-0D00-00001C000000}"/>
              </a:ext>
            </a:extLst>
          </xdr:cNvPr>
          <xdr:cNvGrpSpPr/>
        </xdr:nvGrpSpPr>
        <xdr:grpSpPr>
          <a:xfrm>
            <a:off x="2332671" y="6600589"/>
            <a:ext cx="223603" cy="152875"/>
            <a:chOff x="2332671" y="6600589"/>
            <a:chExt cx="223603" cy="152875"/>
          </a:xfrm>
        </xdr:grpSpPr>
        <xdr:sp macro="" textlink="">
          <xdr:nvSpPr>
            <xdr:cNvPr id="29" name="Isosceles Triangle 28">
              <a:extLst>
                <a:ext uri="{FF2B5EF4-FFF2-40B4-BE49-F238E27FC236}">
                  <a16:creationId xmlns:a16="http://schemas.microsoft.com/office/drawing/2014/main" id="{00000000-0008-0000-0D00-00001D000000}"/>
                </a:ext>
              </a:extLst>
            </xdr:cNvPr>
            <xdr:cNvSpPr/>
          </xdr:nvSpPr>
          <xdr:spPr>
            <a:xfrm rot="16200000">
              <a:off x="2422804" y="6568797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30" name="Isosceles Triangle 29">
              <a:extLst>
                <a:ext uri="{FF2B5EF4-FFF2-40B4-BE49-F238E27FC236}">
                  <a16:creationId xmlns:a16="http://schemas.microsoft.com/office/drawing/2014/main" id="{00000000-0008-0000-0D00-00001E000000}"/>
                </a:ext>
              </a:extLst>
            </xdr:cNvPr>
            <xdr:cNvSpPr/>
          </xdr:nvSpPr>
          <xdr:spPr>
            <a:xfrm rot="16200000">
              <a:off x="2420423" y="6619994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31" name="Isosceles Triangle 30">
              <a:extLst>
                <a:ext uri="{FF2B5EF4-FFF2-40B4-BE49-F238E27FC236}">
                  <a16:creationId xmlns:a16="http://schemas.microsoft.com/office/drawing/2014/main" id="{00000000-0008-0000-0D00-00001F000000}"/>
                </a:ext>
              </a:extLst>
            </xdr:cNvPr>
            <xdr:cNvSpPr/>
          </xdr:nvSpPr>
          <xdr:spPr>
            <a:xfrm rot="16200000">
              <a:off x="2420422" y="6512838"/>
              <a:ext cx="45719" cy="221221"/>
            </a:xfrm>
            <a:prstGeom prst="triangle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</xdr:grpSp>
    <xdr:clientData/>
  </xdr:twoCellAnchor>
  <xdr:twoCellAnchor>
    <xdr:from>
      <xdr:col>44</xdr:col>
      <xdr:colOff>0</xdr:colOff>
      <xdr:row>13</xdr:row>
      <xdr:rowOff>8659</xdr:rowOff>
    </xdr:from>
    <xdr:to>
      <xdr:col>46</xdr:col>
      <xdr:colOff>285749</xdr:colOff>
      <xdr:row>16</xdr:row>
      <xdr:rowOff>25977</xdr:rowOff>
    </xdr:to>
    <xdr:grpSp>
      <xdr:nvGrpSpPr>
        <xdr:cNvPr id="36" name="Group 35">
          <a:extLst>
            <a:ext uri="{FF2B5EF4-FFF2-40B4-BE49-F238E27FC236}">
              <a16:creationId xmlns:a16="http://schemas.microsoft.com/office/drawing/2014/main" id="{00000000-0008-0000-0D00-000024000000}"/>
            </a:ext>
          </a:extLst>
        </xdr:cNvPr>
        <xdr:cNvGrpSpPr/>
      </xdr:nvGrpSpPr>
      <xdr:grpSpPr>
        <a:xfrm>
          <a:off x="16920882" y="2586012"/>
          <a:ext cx="634377" cy="577612"/>
          <a:chOff x="1480705" y="2363932"/>
          <a:chExt cx="623454" cy="588818"/>
        </a:xfrm>
      </xdr:grpSpPr>
      <xdr:pic>
        <xdr:nvPicPr>
          <xdr:cNvPr id="37" name="Picture 36" descr="Image result for pressure gauge">
            <a:extLst>
              <a:ext uri="{FF2B5EF4-FFF2-40B4-BE49-F238E27FC236}">
                <a16:creationId xmlns:a16="http://schemas.microsoft.com/office/drawing/2014/main" id="{00000000-0008-0000-0D00-000025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2180" t="3639" r="11998" b="3578"/>
          <a:stretch/>
        </xdr:blipFill>
        <xdr:spPr bwMode="auto">
          <a:xfrm>
            <a:off x="1625023" y="2363932"/>
            <a:ext cx="479136" cy="58881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cxnSp macro="">
        <xdr:nvCxnSpPr>
          <xdr:cNvPr id="38" name="Straight Connector 37">
            <a:extLst>
              <a:ext uri="{FF2B5EF4-FFF2-40B4-BE49-F238E27FC236}">
                <a16:creationId xmlns:a16="http://schemas.microsoft.com/office/drawing/2014/main" id="{00000000-0008-0000-0D00-000026000000}"/>
              </a:ext>
            </a:extLst>
          </xdr:cNvPr>
          <xdr:cNvCxnSpPr/>
        </xdr:nvCxnSpPr>
        <xdr:spPr>
          <a:xfrm>
            <a:off x="1480705" y="2935433"/>
            <a:ext cx="398318" cy="0"/>
          </a:xfrm>
          <a:prstGeom prst="line">
            <a:avLst/>
          </a:prstGeom>
          <a:ln w="60325">
            <a:solidFill>
              <a:schemeClr val="accent2">
                <a:lumMod val="7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41</xdr:col>
      <xdr:colOff>164522</xdr:colOff>
      <xdr:row>17</xdr:row>
      <xdr:rowOff>34636</xdr:rowOff>
    </xdr:from>
    <xdr:to>
      <xdr:col>41</xdr:col>
      <xdr:colOff>251113</xdr:colOff>
      <xdr:row>17</xdr:row>
      <xdr:rowOff>112568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D00-000027000000}"/>
            </a:ext>
          </a:extLst>
        </xdr:cNvPr>
        <xdr:cNvSpPr/>
      </xdr:nvSpPr>
      <xdr:spPr>
        <a:xfrm>
          <a:off x="18366797" y="3416011"/>
          <a:ext cx="86591" cy="77932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41</xdr:col>
      <xdr:colOff>277091</xdr:colOff>
      <xdr:row>16</xdr:row>
      <xdr:rowOff>138544</xdr:rowOff>
    </xdr:from>
    <xdr:to>
      <xdr:col>41</xdr:col>
      <xdr:colOff>415637</xdr:colOff>
      <xdr:row>18</xdr:row>
      <xdr:rowOff>17317</xdr:rowOff>
    </xdr:to>
    <xdr:sp macro="" textlink="">
      <xdr:nvSpPr>
        <xdr:cNvPr id="40" name="Left Arrow 39">
          <a:extLst>
            <a:ext uri="{FF2B5EF4-FFF2-40B4-BE49-F238E27FC236}">
              <a16:creationId xmlns:a16="http://schemas.microsoft.com/office/drawing/2014/main" id="{00000000-0008-0000-0D00-000028000000}"/>
            </a:ext>
          </a:extLst>
        </xdr:cNvPr>
        <xdr:cNvSpPr/>
      </xdr:nvSpPr>
      <xdr:spPr>
        <a:xfrm>
          <a:off x="18479366" y="3329419"/>
          <a:ext cx="138546" cy="259773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47</xdr:col>
      <xdr:colOff>219075</xdr:colOff>
      <xdr:row>3</xdr:row>
      <xdr:rowOff>57150</xdr:rowOff>
    </xdr:from>
    <xdr:ext cx="1932214" cy="1870528"/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D00-00002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470" r="9117" b="7165"/>
        <a:stretch/>
      </xdr:blipFill>
      <xdr:spPr>
        <a:xfrm>
          <a:off x="10544175" y="771525"/>
          <a:ext cx="1932214" cy="1870528"/>
        </a:xfrm>
        <a:prstGeom prst="rect">
          <a:avLst/>
        </a:prstGeom>
      </xdr:spPr>
    </xdr:pic>
    <xdr:clientData/>
  </xdr:oneCellAnchor>
  <xdr:oneCellAnchor>
    <xdr:from>
      <xdr:col>51</xdr:col>
      <xdr:colOff>28575</xdr:colOff>
      <xdr:row>44</xdr:row>
      <xdr:rowOff>160109</xdr:rowOff>
    </xdr:from>
    <xdr:ext cx="571499" cy="761542"/>
    <xdr:pic>
      <xdr:nvPicPr>
        <xdr:cNvPr id="42" name="Picture 41" descr="Image result for drilling bit">
          <a:extLst>
            <a:ext uri="{FF2B5EF4-FFF2-40B4-BE49-F238E27FC236}">
              <a16:creationId xmlns:a16="http://schemas.microsoft.com/office/drawing/2014/main" id="{00000000-0008-0000-0D00-00002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00" r="10800" b="3733"/>
        <a:stretch/>
      </xdr:blipFill>
      <xdr:spPr bwMode="auto">
        <a:xfrm flipV="1">
          <a:off x="10944225" y="8751659"/>
          <a:ext cx="571499" cy="761542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</xdr:pic>
    <xdr:clientData/>
  </xdr:oneCellAnchor>
  <xdr:twoCellAnchor>
    <xdr:from>
      <xdr:col>51</xdr:col>
      <xdr:colOff>152401</xdr:colOff>
      <xdr:row>42</xdr:row>
      <xdr:rowOff>7710</xdr:rowOff>
    </xdr:from>
    <xdr:to>
      <xdr:col>51</xdr:col>
      <xdr:colOff>466725</xdr:colOff>
      <xdr:row>45</xdr:row>
      <xdr:rowOff>149395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00000000-0008-0000-0D00-00002B000000}"/>
            </a:ext>
          </a:extLst>
        </xdr:cNvPr>
        <xdr:cNvSpPr/>
      </xdr:nvSpPr>
      <xdr:spPr>
        <a:xfrm>
          <a:off x="11068051" y="8199210"/>
          <a:ext cx="314324" cy="732235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51</xdr:col>
      <xdr:colOff>209552</xdr:colOff>
      <xdr:row>2</xdr:row>
      <xdr:rowOff>65485</xdr:rowOff>
    </xdr:from>
    <xdr:to>
      <xdr:col>51</xdr:col>
      <xdr:colOff>396876</xdr:colOff>
      <xdr:row>42</xdr:row>
      <xdr:rowOff>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0000000-0008-0000-0D00-00002C000000}"/>
            </a:ext>
          </a:extLst>
        </xdr:cNvPr>
        <xdr:cNvSpPr/>
      </xdr:nvSpPr>
      <xdr:spPr>
        <a:xfrm>
          <a:off x="11125202" y="541735"/>
          <a:ext cx="187324" cy="7649765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54</xdr:col>
      <xdr:colOff>1</xdr:colOff>
      <xdr:row>12</xdr:row>
      <xdr:rowOff>181841</xdr:rowOff>
    </xdr:from>
    <xdr:to>
      <xdr:col>56</xdr:col>
      <xdr:colOff>285750</xdr:colOff>
      <xdr:row>16</xdr:row>
      <xdr:rowOff>8659</xdr:rowOff>
    </xdr:to>
    <xdr:grpSp>
      <xdr:nvGrpSpPr>
        <xdr:cNvPr id="45" name="Group 44">
          <a:extLst>
            <a:ext uri="{FF2B5EF4-FFF2-40B4-BE49-F238E27FC236}">
              <a16:creationId xmlns:a16="http://schemas.microsoft.com/office/drawing/2014/main" id="{00000000-0008-0000-0D00-00002D000000}"/>
            </a:ext>
          </a:extLst>
        </xdr:cNvPr>
        <xdr:cNvGrpSpPr/>
      </xdr:nvGrpSpPr>
      <xdr:grpSpPr>
        <a:xfrm>
          <a:off x="19423530" y="2572429"/>
          <a:ext cx="634377" cy="573877"/>
          <a:chOff x="1480705" y="2363932"/>
          <a:chExt cx="623454" cy="588818"/>
        </a:xfrm>
      </xdr:grpSpPr>
      <xdr:pic>
        <xdr:nvPicPr>
          <xdr:cNvPr id="46" name="Picture 45" descr="Image result for pressure gauge">
            <a:extLst>
              <a:ext uri="{FF2B5EF4-FFF2-40B4-BE49-F238E27FC236}">
                <a16:creationId xmlns:a16="http://schemas.microsoft.com/office/drawing/2014/main" id="{00000000-0008-0000-0D00-00002E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2180" t="3639" r="11998" b="3578"/>
          <a:stretch/>
        </xdr:blipFill>
        <xdr:spPr bwMode="auto">
          <a:xfrm>
            <a:off x="1625023" y="2363932"/>
            <a:ext cx="479136" cy="58881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00000000-0008-0000-0D00-00002F000000}"/>
              </a:ext>
            </a:extLst>
          </xdr:cNvPr>
          <xdr:cNvCxnSpPr/>
        </xdr:nvCxnSpPr>
        <xdr:spPr>
          <a:xfrm>
            <a:off x="1480705" y="2935433"/>
            <a:ext cx="398318" cy="0"/>
          </a:xfrm>
          <a:prstGeom prst="line">
            <a:avLst/>
          </a:prstGeom>
          <a:ln w="60325">
            <a:solidFill>
              <a:schemeClr val="accent2">
                <a:lumMod val="7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oneCellAnchor>
    <xdr:from>
      <xdr:col>57</xdr:col>
      <xdr:colOff>219075</xdr:colOff>
      <xdr:row>3</xdr:row>
      <xdr:rowOff>57150</xdr:rowOff>
    </xdr:from>
    <xdr:ext cx="1932214" cy="1870528"/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D00-00003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470" r="9117" b="7165"/>
        <a:stretch/>
      </xdr:blipFill>
      <xdr:spPr>
        <a:xfrm>
          <a:off x="8724900" y="771525"/>
          <a:ext cx="1932214" cy="1870528"/>
        </a:xfrm>
        <a:prstGeom prst="rect">
          <a:avLst/>
        </a:prstGeom>
      </xdr:spPr>
    </xdr:pic>
    <xdr:clientData/>
  </xdr:oneCellAnchor>
  <xdr:oneCellAnchor>
    <xdr:from>
      <xdr:col>61</xdr:col>
      <xdr:colOff>28575</xdr:colOff>
      <xdr:row>44</xdr:row>
      <xdr:rowOff>160109</xdr:rowOff>
    </xdr:from>
    <xdr:ext cx="571499" cy="761542"/>
    <xdr:pic>
      <xdr:nvPicPr>
        <xdr:cNvPr id="49" name="Picture 48" descr="Image result for drilling bit">
          <a:extLst>
            <a:ext uri="{FF2B5EF4-FFF2-40B4-BE49-F238E27FC236}">
              <a16:creationId xmlns:a16="http://schemas.microsoft.com/office/drawing/2014/main" id="{00000000-0008-0000-0D00-00003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00" r="10800" b="3733"/>
        <a:stretch/>
      </xdr:blipFill>
      <xdr:spPr bwMode="auto">
        <a:xfrm flipV="1">
          <a:off x="9124950" y="8723084"/>
          <a:ext cx="571499" cy="761542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</xdr:pic>
    <xdr:clientData/>
  </xdr:oneCellAnchor>
  <xdr:twoCellAnchor>
    <xdr:from>
      <xdr:col>61</xdr:col>
      <xdr:colOff>152401</xdr:colOff>
      <xdr:row>42</xdr:row>
      <xdr:rowOff>7710</xdr:rowOff>
    </xdr:from>
    <xdr:to>
      <xdr:col>61</xdr:col>
      <xdr:colOff>466725</xdr:colOff>
      <xdr:row>45</xdr:row>
      <xdr:rowOff>149395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00000000-0008-0000-0D00-000032000000}"/>
            </a:ext>
          </a:extLst>
        </xdr:cNvPr>
        <xdr:cNvSpPr/>
      </xdr:nvSpPr>
      <xdr:spPr>
        <a:xfrm>
          <a:off x="9248776" y="8189685"/>
          <a:ext cx="314324" cy="713185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61</xdr:col>
      <xdr:colOff>209552</xdr:colOff>
      <xdr:row>2</xdr:row>
      <xdr:rowOff>65485</xdr:rowOff>
    </xdr:from>
    <xdr:to>
      <xdr:col>61</xdr:col>
      <xdr:colOff>396876</xdr:colOff>
      <xdr:row>42</xdr:row>
      <xdr:rowOff>0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00000000-0008-0000-0D00-000033000000}"/>
            </a:ext>
          </a:extLst>
        </xdr:cNvPr>
        <xdr:cNvSpPr/>
      </xdr:nvSpPr>
      <xdr:spPr>
        <a:xfrm>
          <a:off x="9305927" y="541735"/>
          <a:ext cx="187324" cy="7640240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51</xdr:col>
      <xdr:colOff>624533</xdr:colOff>
      <xdr:row>47</xdr:row>
      <xdr:rowOff>186604</xdr:rowOff>
    </xdr:from>
    <xdr:to>
      <xdr:col>53</xdr:col>
      <xdr:colOff>102668</xdr:colOff>
      <xdr:row>49</xdr:row>
      <xdr:rowOff>20514</xdr:rowOff>
    </xdr:to>
    <xdr:grpSp>
      <xdr:nvGrpSpPr>
        <xdr:cNvPr id="52" name="Group 51">
          <a:extLst>
            <a:ext uri="{FF2B5EF4-FFF2-40B4-BE49-F238E27FC236}">
              <a16:creationId xmlns:a16="http://schemas.microsoft.com/office/drawing/2014/main" id="{00000000-0008-0000-0D00-000034000000}"/>
            </a:ext>
          </a:extLst>
        </xdr:cNvPr>
        <xdr:cNvGrpSpPr/>
      </xdr:nvGrpSpPr>
      <xdr:grpSpPr>
        <a:xfrm flipH="1">
          <a:off x="19114239" y="9113957"/>
          <a:ext cx="274998" cy="207439"/>
          <a:chOff x="2333862" y="6389847"/>
          <a:chExt cx="224793" cy="219551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53" name="Isosceles Triangle 52">
            <a:extLst>
              <a:ext uri="{FF2B5EF4-FFF2-40B4-BE49-F238E27FC236}">
                <a16:creationId xmlns:a16="http://schemas.microsoft.com/office/drawing/2014/main" id="{00000000-0008-0000-0D00-000035000000}"/>
              </a:ext>
            </a:extLst>
          </xdr:cNvPr>
          <xdr:cNvSpPr/>
        </xdr:nvSpPr>
        <xdr:spPr>
          <a:xfrm rot="16200000">
            <a:off x="2418042" y="6302096"/>
            <a:ext cx="45719" cy="221221"/>
          </a:xfrm>
          <a:prstGeom prst="triangle">
            <a:avLst/>
          </a:prstGeom>
          <a:grpFill/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4" name="Isosceles Triangle 53">
            <a:extLst>
              <a:ext uri="{FF2B5EF4-FFF2-40B4-BE49-F238E27FC236}">
                <a16:creationId xmlns:a16="http://schemas.microsoft.com/office/drawing/2014/main" id="{00000000-0008-0000-0D00-000036000000}"/>
              </a:ext>
            </a:extLst>
          </xdr:cNvPr>
          <xdr:cNvSpPr/>
        </xdr:nvSpPr>
        <xdr:spPr>
          <a:xfrm rot="16200000">
            <a:off x="2421614" y="6359247"/>
            <a:ext cx="45719" cy="221221"/>
          </a:xfrm>
          <a:prstGeom prst="triangle">
            <a:avLst/>
          </a:prstGeom>
          <a:grpFill/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5" name="Isosceles Triangle 54">
            <a:extLst>
              <a:ext uri="{FF2B5EF4-FFF2-40B4-BE49-F238E27FC236}">
                <a16:creationId xmlns:a16="http://schemas.microsoft.com/office/drawing/2014/main" id="{00000000-0008-0000-0D00-000037000000}"/>
              </a:ext>
            </a:extLst>
          </xdr:cNvPr>
          <xdr:cNvSpPr/>
        </xdr:nvSpPr>
        <xdr:spPr>
          <a:xfrm rot="16200000">
            <a:off x="2421613" y="6418777"/>
            <a:ext cx="45719" cy="221221"/>
          </a:xfrm>
          <a:prstGeom prst="triangle">
            <a:avLst/>
          </a:prstGeom>
          <a:grpFill/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6" name="Isosceles Triangle 55">
            <a:extLst>
              <a:ext uri="{FF2B5EF4-FFF2-40B4-BE49-F238E27FC236}">
                <a16:creationId xmlns:a16="http://schemas.microsoft.com/office/drawing/2014/main" id="{00000000-0008-0000-0D00-000038000000}"/>
              </a:ext>
            </a:extLst>
          </xdr:cNvPr>
          <xdr:cNvSpPr/>
        </xdr:nvSpPr>
        <xdr:spPr>
          <a:xfrm rot="16200000">
            <a:off x="2419232" y="6475928"/>
            <a:ext cx="45719" cy="221221"/>
          </a:xfrm>
          <a:prstGeom prst="triangle">
            <a:avLst/>
          </a:prstGeom>
          <a:grpFill/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49</xdr:col>
      <xdr:colOff>0</xdr:colOff>
      <xdr:row>47</xdr:row>
      <xdr:rowOff>171450</xdr:rowOff>
    </xdr:from>
    <xdr:to>
      <xdr:col>50</xdr:col>
      <xdr:colOff>125686</xdr:colOff>
      <xdr:row>49</xdr:row>
      <xdr:rowOff>10001</xdr:rowOff>
    </xdr:to>
    <xdr:grpSp>
      <xdr:nvGrpSpPr>
        <xdr:cNvPr id="57" name="Group 56">
          <a:extLst>
            <a:ext uri="{FF2B5EF4-FFF2-40B4-BE49-F238E27FC236}">
              <a16:creationId xmlns:a16="http://schemas.microsoft.com/office/drawing/2014/main" id="{00000000-0008-0000-0D00-000039000000}"/>
            </a:ext>
          </a:extLst>
        </xdr:cNvPr>
        <xdr:cNvGrpSpPr/>
      </xdr:nvGrpSpPr>
      <xdr:grpSpPr>
        <a:xfrm>
          <a:off x="18228235" y="9098803"/>
          <a:ext cx="250196" cy="212080"/>
          <a:chOff x="2333862" y="6389847"/>
          <a:chExt cx="224793" cy="219551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58" name="Isosceles Triangle 57">
            <a:extLst>
              <a:ext uri="{FF2B5EF4-FFF2-40B4-BE49-F238E27FC236}">
                <a16:creationId xmlns:a16="http://schemas.microsoft.com/office/drawing/2014/main" id="{00000000-0008-0000-0D00-00003A000000}"/>
              </a:ext>
            </a:extLst>
          </xdr:cNvPr>
          <xdr:cNvSpPr/>
        </xdr:nvSpPr>
        <xdr:spPr>
          <a:xfrm rot="16200000">
            <a:off x="2418042" y="6302096"/>
            <a:ext cx="45719" cy="221221"/>
          </a:xfrm>
          <a:prstGeom prst="triangle">
            <a:avLst/>
          </a:prstGeom>
          <a:grpFill/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9" name="Isosceles Triangle 58">
            <a:extLst>
              <a:ext uri="{FF2B5EF4-FFF2-40B4-BE49-F238E27FC236}">
                <a16:creationId xmlns:a16="http://schemas.microsoft.com/office/drawing/2014/main" id="{00000000-0008-0000-0D00-00003B000000}"/>
              </a:ext>
            </a:extLst>
          </xdr:cNvPr>
          <xdr:cNvSpPr/>
        </xdr:nvSpPr>
        <xdr:spPr>
          <a:xfrm rot="16200000">
            <a:off x="2421614" y="6359247"/>
            <a:ext cx="45719" cy="221221"/>
          </a:xfrm>
          <a:prstGeom prst="triangle">
            <a:avLst/>
          </a:prstGeom>
          <a:grpFill/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0" name="Isosceles Triangle 59">
            <a:extLst>
              <a:ext uri="{FF2B5EF4-FFF2-40B4-BE49-F238E27FC236}">
                <a16:creationId xmlns:a16="http://schemas.microsoft.com/office/drawing/2014/main" id="{00000000-0008-0000-0D00-00003C000000}"/>
              </a:ext>
            </a:extLst>
          </xdr:cNvPr>
          <xdr:cNvSpPr/>
        </xdr:nvSpPr>
        <xdr:spPr>
          <a:xfrm rot="16200000">
            <a:off x="2421613" y="6418777"/>
            <a:ext cx="45719" cy="221221"/>
          </a:xfrm>
          <a:prstGeom prst="triangle">
            <a:avLst/>
          </a:prstGeom>
          <a:grpFill/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1" name="Isosceles Triangle 60">
            <a:extLst>
              <a:ext uri="{FF2B5EF4-FFF2-40B4-BE49-F238E27FC236}">
                <a16:creationId xmlns:a16="http://schemas.microsoft.com/office/drawing/2014/main" id="{00000000-0008-0000-0D00-00003D000000}"/>
              </a:ext>
            </a:extLst>
          </xdr:cNvPr>
          <xdr:cNvSpPr/>
        </xdr:nvSpPr>
        <xdr:spPr>
          <a:xfrm rot="16200000">
            <a:off x="2419232" y="6475928"/>
            <a:ext cx="45719" cy="221221"/>
          </a:xfrm>
          <a:prstGeom prst="triangle">
            <a:avLst/>
          </a:prstGeom>
          <a:grpFill/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62</xdr:col>
      <xdr:colOff>5408</xdr:colOff>
      <xdr:row>47</xdr:row>
      <xdr:rowOff>167554</xdr:rowOff>
    </xdr:from>
    <xdr:to>
      <xdr:col>63</xdr:col>
      <xdr:colOff>112193</xdr:colOff>
      <xdr:row>49</xdr:row>
      <xdr:rowOff>1464</xdr:rowOff>
    </xdr:to>
    <xdr:grpSp>
      <xdr:nvGrpSpPr>
        <xdr:cNvPr id="62" name="Group 61">
          <a:extLst>
            <a:ext uri="{FF2B5EF4-FFF2-40B4-BE49-F238E27FC236}">
              <a16:creationId xmlns:a16="http://schemas.microsoft.com/office/drawing/2014/main" id="{00000000-0008-0000-0D00-00003E000000}"/>
            </a:ext>
          </a:extLst>
        </xdr:cNvPr>
        <xdr:cNvGrpSpPr/>
      </xdr:nvGrpSpPr>
      <xdr:grpSpPr>
        <a:xfrm flipH="1">
          <a:off x="21657663" y="9094907"/>
          <a:ext cx="243746" cy="207439"/>
          <a:chOff x="2333862" y="6389847"/>
          <a:chExt cx="224793" cy="219551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63" name="Isosceles Triangle 62">
            <a:extLst>
              <a:ext uri="{FF2B5EF4-FFF2-40B4-BE49-F238E27FC236}">
                <a16:creationId xmlns:a16="http://schemas.microsoft.com/office/drawing/2014/main" id="{00000000-0008-0000-0D00-00003F000000}"/>
              </a:ext>
            </a:extLst>
          </xdr:cNvPr>
          <xdr:cNvSpPr/>
        </xdr:nvSpPr>
        <xdr:spPr>
          <a:xfrm rot="16200000">
            <a:off x="2418042" y="6302096"/>
            <a:ext cx="45719" cy="221221"/>
          </a:xfrm>
          <a:prstGeom prst="triangle">
            <a:avLst/>
          </a:prstGeom>
          <a:grpFill/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4" name="Isosceles Triangle 63">
            <a:extLst>
              <a:ext uri="{FF2B5EF4-FFF2-40B4-BE49-F238E27FC236}">
                <a16:creationId xmlns:a16="http://schemas.microsoft.com/office/drawing/2014/main" id="{00000000-0008-0000-0D00-000040000000}"/>
              </a:ext>
            </a:extLst>
          </xdr:cNvPr>
          <xdr:cNvSpPr/>
        </xdr:nvSpPr>
        <xdr:spPr>
          <a:xfrm rot="16200000">
            <a:off x="2421614" y="6359247"/>
            <a:ext cx="45719" cy="221221"/>
          </a:xfrm>
          <a:prstGeom prst="triangle">
            <a:avLst/>
          </a:prstGeom>
          <a:grpFill/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5" name="Isosceles Triangle 64">
            <a:extLst>
              <a:ext uri="{FF2B5EF4-FFF2-40B4-BE49-F238E27FC236}">
                <a16:creationId xmlns:a16="http://schemas.microsoft.com/office/drawing/2014/main" id="{00000000-0008-0000-0D00-000041000000}"/>
              </a:ext>
            </a:extLst>
          </xdr:cNvPr>
          <xdr:cNvSpPr/>
        </xdr:nvSpPr>
        <xdr:spPr>
          <a:xfrm rot="16200000">
            <a:off x="2421613" y="6418777"/>
            <a:ext cx="45719" cy="221221"/>
          </a:xfrm>
          <a:prstGeom prst="triangle">
            <a:avLst/>
          </a:prstGeom>
          <a:grpFill/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6" name="Isosceles Triangle 65">
            <a:extLst>
              <a:ext uri="{FF2B5EF4-FFF2-40B4-BE49-F238E27FC236}">
                <a16:creationId xmlns:a16="http://schemas.microsoft.com/office/drawing/2014/main" id="{00000000-0008-0000-0D00-000042000000}"/>
              </a:ext>
            </a:extLst>
          </xdr:cNvPr>
          <xdr:cNvSpPr/>
        </xdr:nvSpPr>
        <xdr:spPr>
          <a:xfrm rot="16200000">
            <a:off x="2419232" y="6475928"/>
            <a:ext cx="45719" cy="221221"/>
          </a:xfrm>
          <a:prstGeom prst="triangle">
            <a:avLst/>
          </a:prstGeom>
          <a:grpFill/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59</xdr:col>
      <xdr:colOff>9525</xdr:colOff>
      <xdr:row>47</xdr:row>
      <xdr:rowOff>152400</xdr:rowOff>
    </xdr:from>
    <xdr:to>
      <xdr:col>61</xdr:col>
      <xdr:colOff>1861</xdr:colOff>
      <xdr:row>48</xdr:row>
      <xdr:rowOff>181451</xdr:rowOff>
    </xdr:to>
    <xdr:grpSp>
      <xdr:nvGrpSpPr>
        <xdr:cNvPr id="67" name="Group 66">
          <a:extLst>
            <a:ext uri="{FF2B5EF4-FFF2-40B4-BE49-F238E27FC236}">
              <a16:creationId xmlns:a16="http://schemas.microsoft.com/office/drawing/2014/main" id="{00000000-0008-0000-0D00-000043000000}"/>
            </a:ext>
          </a:extLst>
        </xdr:cNvPr>
        <xdr:cNvGrpSpPr/>
      </xdr:nvGrpSpPr>
      <xdr:grpSpPr>
        <a:xfrm>
          <a:off x="20740407" y="9079753"/>
          <a:ext cx="253807" cy="215816"/>
          <a:chOff x="2333862" y="6389847"/>
          <a:chExt cx="224793" cy="219551"/>
        </a:xfrm>
        <a:solidFill>
          <a:schemeClr val="accent4">
            <a:lumMod val="60000"/>
            <a:lumOff val="40000"/>
          </a:schemeClr>
        </a:solidFill>
      </xdr:grpSpPr>
      <xdr:sp macro="" textlink="">
        <xdr:nvSpPr>
          <xdr:cNvPr id="68" name="Isosceles Triangle 67">
            <a:extLst>
              <a:ext uri="{FF2B5EF4-FFF2-40B4-BE49-F238E27FC236}">
                <a16:creationId xmlns:a16="http://schemas.microsoft.com/office/drawing/2014/main" id="{00000000-0008-0000-0D00-000044000000}"/>
              </a:ext>
            </a:extLst>
          </xdr:cNvPr>
          <xdr:cNvSpPr/>
        </xdr:nvSpPr>
        <xdr:spPr>
          <a:xfrm rot="16200000">
            <a:off x="2418042" y="6302096"/>
            <a:ext cx="45719" cy="221221"/>
          </a:xfrm>
          <a:prstGeom prst="triangle">
            <a:avLst/>
          </a:prstGeom>
          <a:grpFill/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9" name="Isosceles Triangle 68">
            <a:extLst>
              <a:ext uri="{FF2B5EF4-FFF2-40B4-BE49-F238E27FC236}">
                <a16:creationId xmlns:a16="http://schemas.microsoft.com/office/drawing/2014/main" id="{00000000-0008-0000-0D00-000045000000}"/>
              </a:ext>
            </a:extLst>
          </xdr:cNvPr>
          <xdr:cNvSpPr/>
        </xdr:nvSpPr>
        <xdr:spPr>
          <a:xfrm rot="16200000">
            <a:off x="2421614" y="6359247"/>
            <a:ext cx="45719" cy="221221"/>
          </a:xfrm>
          <a:prstGeom prst="triangle">
            <a:avLst/>
          </a:prstGeom>
          <a:grpFill/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0" name="Isosceles Triangle 69">
            <a:extLst>
              <a:ext uri="{FF2B5EF4-FFF2-40B4-BE49-F238E27FC236}">
                <a16:creationId xmlns:a16="http://schemas.microsoft.com/office/drawing/2014/main" id="{00000000-0008-0000-0D00-000046000000}"/>
              </a:ext>
            </a:extLst>
          </xdr:cNvPr>
          <xdr:cNvSpPr/>
        </xdr:nvSpPr>
        <xdr:spPr>
          <a:xfrm rot="16200000">
            <a:off x="2421613" y="6418777"/>
            <a:ext cx="45719" cy="221221"/>
          </a:xfrm>
          <a:prstGeom prst="triangle">
            <a:avLst/>
          </a:prstGeom>
          <a:grpFill/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1" name="Isosceles Triangle 70">
            <a:extLst>
              <a:ext uri="{FF2B5EF4-FFF2-40B4-BE49-F238E27FC236}">
                <a16:creationId xmlns:a16="http://schemas.microsoft.com/office/drawing/2014/main" id="{00000000-0008-0000-0D00-000047000000}"/>
              </a:ext>
            </a:extLst>
          </xdr:cNvPr>
          <xdr:cNvSpPr/>
        </xdr:nvSpPr>
        <xdr:spPr>
          <a:xfrm rot="16200000">
            <a:off x="2419232" y="6475928"/>
            <a:ext cx="45719" cy="221221"/>
          </a:xfrm>
          <a:prstGeom prst="triangle">
            <a:avLst/>
          </a:prstGeom>
          <a:grpFill/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6</xdr:row>
      <xdr:rowOff>57150</xdr:rowOff>
    </xdr:from>
    <xdr:ext cx="2400300" cy="18478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470" r="9117" b="7165"/>
        <a:stretch/>
      </xdr:blipFill>
      <xdr:spPr>
        <a:xfrm>
          <a:off x="657225" y="771525"/>
          <a:ext cx="2400300" cy="1847850"/>
        </a:xfrm>
        <a:prstGeom prst="rect">
          <a:avLst/>
        </a:prstGeom>
      </xdr:spPr>
    </xdr:pic>
    <xdr:clientData/>
  </xdr:oneCellAnchor>
  <xdr:twoCellAnchor editAs="oneCell">
    <xdr:from>
      <xdr:col>5</xdr:col>
      <xdr:colOff>25977</xdr:colOff>
      <xdr:row>38</xdr:row>
      <xdr:rowOff>86591</xdr:rowOff>
    </xdr:from>
    <xdr:to>
      <xdr:col>5</xdr:col>
      <xdr:colOff>606138</xdr:colOff>
      <xdr:row>41</xdr:row>
      <xdr:rowOff>105641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73696" t="20003" r="12097" b="23625"/>
        <a:stretch/>
      </xdr:blipFill>
      <xdr:spPr>
        <a:xfrm>
          <a:off x="1226127" y="6916016"/>
          <a:ext cx="580161" cy="66675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16</xdr:row>
      <xdr:rowOff>25977</xdr:rowOff>
    </xdr:from>
    <xdr:to>
      <xdr:col>10</xdr:col>
      <xdr:colOff>285750</xdr:colOff>
      <xdr:row>19</xdr:row>
      <xdr:rowOff>43295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GrpSpPr/>
      </xdr:nvGrpSpPr>
      <xdr:grpSpPr>
        <a:xfrm>
          <a:off x="2165350" y="3372427"/>
          <a:ext cx="635000" cy="576118"/>
          <a:chOff x="1480705" y="2363932"/>
          <a:chExt cx="623454" cy="588818"/>
        </a:xfrm>
      </xdr:grpSpPr>
      <xdr:pic>
        <xdr:nvPicPr>
          <xdr:cNvPr id="5" name="Picture 4" descr="Image result for pressure gauge">
            <a:extLst>
              <a:ext uri="{FF2B5EF4-FFF2-40B4-BE49-F238E27FC236}">
                <a16:creationId xmlns:a16="http://schemas.microsoft.com/office/drawing/2014/main" id="{00000000-0008-0000-0E00-000005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2180" t="3639" r="11998" b="3578"/>
          <a:stretch/>
        </xdr:blipFill>
        <xdr:spPr bwMode="auto">
          <a:xfrm>
            <a:off x="1625023" y="2363932"/>
            <a:ext cx="479136" cy="58881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cxnSp macro="">
        <xdr:nvCxnSpPr>
          <xdr:cNvPr id="6" name="Straight Connector 5">
            <a:extLst>
              <a:ext uri="{FF2B5EF4-FFF2-40B4-BE49-F238E27FC236}">
                <a16:creationId xmlns:a16="http://schemas.microsoft.com/office/drawing/2014/main" id="{00000000-0008-0000-0E00-000006000000}"/>
              </a:ext>
            </a:extLst>
          </xdr:cNvPr>
          <xdr:cNvCxnSpPr/>
        </xdr:nvCxnSpPr>
        <xdr:spPr>
          <a:xfrm>
            <a:off x="1480705" y="2935433"/>
            <a:ext cx="398318" cy="0"/>
          </a:xfrm>
          <a:prstGeom prst="line">
            <a:avLst/>
          </a:prstGeom>
          <a:ln w="60325">
            <a:solidFill>
              <a:schemeClr val="accent2">
                <a:lumMod val="7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57150</xdr:colOff>
      <xdr:row>44</xdr:row>
      <xdr:rowOff>19050</xdr:rowOff>
    </xdr:from>
    <xdr:to>
      <xdr:col>7</xdr:col>
      <xdr:colOff>66675</xdr:colOff>
      <xdr:row>46</xdr:row>
      <xdr:rowOff>28575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SpPr/>
      </xdr:nvSpPr>
      <xdr:spPr>
        <a:xfrm>
          <a:off x="1000125" y="8001000"/>
          <a:ext cx="1028700" cy="400050"/>
        </a:xfrm>
        <a:prstGeom prst="downArrow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47625</xdr:colOff>
      <xdr:row>38</xdr:row>
      <xdr:rowOff>9525</xdr:rowOff>
    </xdr:from>
    <xdr:to>
      <xdr:col>19</xdr:col>
      <xdr:colOff>57150</xdr:colOff>
      <xdr:row>40</xdr:row>
      <xdr:rowOff>76200</xdr:rowOff>
    </xdr:to>
    <xdr:sp macro="" textlink="">
      <xdr:nvSpPr>
        <xdr:cNvPr id="13" name="Down Arrow 12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SpPr/>
      </xdr:nvSpPr>
      <xdr:spPr>
        <a:xfrm flipV="1">
          <a:off x="4638675" y="6934200"/>
          <a:ext cx="1028700" cy="447675"/>
        </a:xfrm>
        <a:prstGeom prst="downArrow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12</xdr:col>
      <xdr:colOff>47625</xdr:colOff>
      <xdr:row>8</xdr:row>
      <xdr:rowOff>133350</xdr:rowOff>
    </xdr:from>
    <xdr:ext cx="3028950" cy="1581150"/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E00-00000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470" r="30963" b="7165"/>
        <a:stretch/>
      </xdr:blipFill>
      <xdr:spPr>
        <a:xfrm>
          <a:off x="3695700" y="1943100"/>
          <a:ext cx="3028950" cy="1581150"/>
        </a:xfrm>
        <a:prstGeom prst="rect">
          <a:avLst/>
        </a:prstGeom>
      </xdr:spPr>
    </xdr:pic>
    <xdr:clientData/>
  </xdr:oneCellAnchor>
  <xdr:twoCellAnchor>
    <xdr:from>
      <xdr:col>15</xdr:col>
      <xdr:colOff>57150</xdr:colOff>
      <xdr:row>3</xdr:row>
      <xdr:rowOff>228600</xdr:rowOff>
    </xdr:from>
    <xdr:to>
      <xdr:col>19</xdr:col>
      <xdr:colOff>66675</xdr:colOff>
      <xdr:row>5</xdr:row>
      <xdr:rowOff>200025</xdr:rowOff>
    </xdr:to>
    <xdr:sp macro="" textlink="">
      <xdr:nvSpPr>
        <xdr:cNvPr id="15" name="Down Arrow 14">
          <a:extLst>
            <a:ext uri="{FF2B5EF4-FFF2-40B4-BE49-F238E27FC236}">
              <a16:creationId xmlns:a16="http://schemas.microsoft.com/office/drawing/2014/main" id="{00000000-0008-0000-0E00-00000F000000}"/>
            </a:ext>
          </a:extLst>
        </xdr:cNvPr>
        <xdr:cNvSpPr/>
      </xdr:nvSpPr>
      <xdr:spPr>
        <a:xfrm flipV="1">
          <a:off x="4648200" y="942975"/>
          <a:ext cx="1028700" cy="447675"/>
        </a:xfrm>
        <a:prstGeom prst="downArrow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4</xdr:row>
      <xdr:rowOff>0</xdr:rowOff>
    </xdr:from>
    <xdr:to>
      <xdr:col>13</xdr:col>
      <xdr:colOff>76200</xdr:colOff>
      <xdr:row>26</xdr:row>
      <xdr:rowOff>57150</xdr:rowOff>
    </xdr:to>
    <xdr:sp macro="" textlink="">
      <xdr:nvSpPr>
        <xdr:cNvPr id="3" name="Freeform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/>
      </xdr:nvSpPr>
      <xdr:spPr>
        <a:xfrm>
          <a:off x="1524000" y="190500"/>
          <a:ext cx="2914650" cy="3295650"/>
        </a:xfrm>
        <a:custGeom>
          <a:avLst/>
          <a:gdLst>
            <a:gd name="connsiteX0" fmla="*/ 0 w 2914650"/>
            <a:gd name="connsiteY0" fmla="*/ 0 h 3295650"/>
            <a:gd name="connsiteX1" fmla="*/ 590550 w 2914650"/>
            <a:gd name="connsiteY1" fmla="*/ 1371600 h 3295650"/>
            <a:gd name="connsiteX2" fmla="*/ 2181225 w 2914650"/>
            <a:gd name="connsiteY2" fmla="*/ 2314575 h 3295650"/>
            <a:gd name="connsiteX3" fmla="*/ 2914650 w 2914650"/>
            <a:gd name="connsiteY3" fmla="*/ 3295650 h 32956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2914650" h="3295650">
              <a:moveTo>
                <a:pt x="0" y="0"/>
              </a:moveTo>
              <a:cubicBezTo>
                <a:pt x="113506" y="492919"/>
                <a:pt x="227013" y="985838"/>
                <a:pt x="590550" y="1371600"/>
              </a:cubicBezTo>
              <a:cubicBezTo>
                <a:pt x="954087" y="1757362"/>
                <a:pt x="1793875" y="1993900"/>
                <a:pt x="2181225" y="2314575"/>
              </a:cubicBezTo>
              <a:cubicBezTo>
                <a:pt x="2568575" y="2635250"/>
                <a:pt x="2741612" y="2965450"/>
                <a:pt x="2914650" y="3295650"/>
              </a:cubicBezTo>
            </a:path>
          </a:pathLst>
        </a:custGeom>
        <a:noFill/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257175</xdr:colOff>
      <xdr:row>3</xdr:row>
      <xdr:rowOff>180975</xdr:rowOff>
    </xdr:from>
    <xdr:to>
      <xdr:col>17</xdr:col>
      <xdr:colOff>266700</xdr:colOff>
      <xdr:row>26</xdr:row>
      <xdr:rowOff>28575</xdr:rowOff>
    </xdr:to>
    <xdr:sp macro="" textlink="">
      <xdr:nvSpPr>
        <xdr:cNvPr id="5" name="Freeform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SpPr/>
      </xdr:nvSpPr>
      <xdr:spPr>
        <a:xfrm>
          <a:off x="3190875" y="180975"/>
          <a:ext cx="2581275" cy="4229100"/>
        </a:xfrm>
        <a:custGeom>
          <a:avLst/>
          <a:gdLst>
            <a:gd name="connsiteX0" fmla="*/ 0 w 2581275"/>
            <a:gd name="connsiteY0" fmla="*/ 0 h 3276600"/>
            <a:gd name="connsiteX1" fmla="*/ 923925 w 2581275"/>
            <a:gd name="connsiteY1" fmla="*/ 790575 h 3276600"/>
            <a:gd name="connsiteX2" fmla="*/ 2057400 w 2581275"/>
            <a:gd name="connsiteY2" fmla="*/ 1352550 h 3276600"/>
            <a:gd name="connsiteX3" fmla="*/ 2581275 w 2581275"/>
            <a:gd name="connsiteY3" fmla="*/ 3276600 h 32766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2581275" h="3276600">
              <a:moveTo>
                <a:pt x="0" y="0"/>
              </a:moveTo>
              <a:cubicBezTo>
                <a:pt x="290512" y="282575"/>
                <a:pt x="581025" y="565150"/>
                <a:pt x="923925" y="790575"/>
              </a:cubicBezTo>
              <a:cubicBezTo>
                <a:pt x="1266825" y="1016000"/>
                <a:pt x="1781175" y="938213"/>
                <a:pt x="2057400" y="1352550"/>
              </a:cubicBezTo>
              <a:cubicBezTo>
                <a:pt x="2333625" y="1766887"/>
                <a:pt x="2457450" y="2521743"/>
                <a:pt x="2581275" y="3276600"/>
              </a:cubicBezTo>
            </a:path>
          </a:pathLst>
        </a:cu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38100</xdr:colOff>
      <xdr:row>3</xdr:row>
      <xdr:rowOff>114300</xdr:rowOff>
    </xdr:from>
    <xdr:to>
      <xdr:col>14</xdr:col>
      <xdr:colOff>95250</xdr:colOff>
      <xdr:row>25</xdr:row>
      <xdr:rowOff>171450</xdr:rowOff>
    </xdr:to>
    <xdr:sp macro="" textlink="">
      <xdr:nvSpPr>
        <xdr:cNvPr id="6" name="Freeform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SpPr/>
      </xdr:nvSpPr>
      <xdr:spPr>
        <a:xfrm>
          <a:off x="1828800" y="114300"/>
          <a:ext cx="2914650" cy="4248150"/>
        </a:xfrm>
        <a:custGeom>
          <a:avLst/>
          <a:gdLst>
            <a:gd name="connsiteX0" fmla="*/ 0 w 2914650"/>
            <a:gd name="connsiteY0" fmla="*/ 0 h 3295650"/>
            <a:gd name="connsiteX1" fmla="*/ 590550 w 2914650"/>
            <a:gd name="connsiteY1" fmla="*/ 1371600 h 3295650"/>
            <a:gd name="connsiteX2" fmla="*/ 2181225 w 2914650"/>
            <a:gd name="connsiteY2" fmla="*/ 2314575 h 3295650"/>
            <a:gd name="connsiteX3" fmla="*/ 2914650 w 2914650"/>
            <a:gd name="connsiteY3" fmla="*/ 3295650 h 32956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2914650" h="3295650">
              <a:moveTo>
                <a:pt x="0" y="0"/>
              </a:moveTo>
              <a:cubicBezTo>
                <a:pt x="113506" y="492919"/>
                <a:pt x="227013" y="985838"/>
                <a:pt x="590550" y="1371600"/>
              </a:cubicBezTo>
              <a:cubicBezTo>
                <a:pt x="954087" y="1757362"/>
                <a:pt x="1793875" y="1993900"/>
                <a:pt x="2181225" y="2314575"/>
              </a:cubicBezTo>
              <a:cubicBezTo>
                <a:pt x="2568575" y="2635250"/>
                <a:pt x="2741612" y="2965450"/>
                <a:pt x="2914650" y="3295650"/>
              </a:cubicBezTo>
            </a:path>
          </a:pathLst>
        </a:custGeom>
        <a:noFill/>
        <a:ln w="38100"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276225</xdr:colOff>
      <xdr:row>4</xdr:row>
      <xdr:rowOff>104775</xdr:rowOff>
    </xdr:from>
    <xdr:to>
      <xdr:col>17</xdr:col>
      <xdr:colOff>0</xdr:colOff>
      <xdr:row>26</xdr:row>
      <xdr:rowOff>142875</xdr:rowOff>
    </xdr:to>
    <xdr:sp macro="" textlink="">
      <xdr:nvSpPr>
        <xdr:cNvPr id="7" name="Freeform 6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SpPr/>
      </xdr:nvSpPr>
      <xdr:spPr>
        <a:xfrm>
          <a:off x="2924175" y="295275"/>
          <a:ext cx="2581275" cy="4229100"/>
        </a:xfrm>
        <a:custGeom>
          <a:avLst/>
          <a:gdLst>
            <a:gd name="connsiteX0" fmla="*/ 0 w 2581275"/>
            <a:gd name="connsiteY0" fmla="*/ 0 h 3276600"/>
            <a:gd name="connsiteX1" fmla="*/ 923925 w 2581275"/>
            <a:gd name="connsiteY1" fmla="*/ 790575 h 3276600"/>
            <a:gd name="connsiteX2" fmla="*/ 2057400 w 2581275"/>
            <a:gd name="connsiteY2" fmla="*/ 1352550 h 3276600"/>
            <a:gd name="connsiteX3" fmla="*/ 2581275 w 2581275"/>
            <a:gd name="connsiteY3" fmla="*/ 3276600 h 32766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2581275" h="3276600">
              <a:moveTo>
                <a:pt x="0" y="0"/>
              </a:moveTo>
              <a:cubicBezTo>
                <a:pt x="290512" y="282575"/>
                <a:pt x="581025" y="565150"/>
                <a:pt x="923925" y="790575"/>
              </a:cubicBezTo>
              <a:cubicBezTo>
                <a:pt x="1266825" y="1016000"/>
                <a:pt x="1781175" y="938213"/>
                <a:pt x="2057400" y="1352550"/>
              </a:cubicBezTo>
              <a:cubicBezTo>
                <a:pt x="2333625" y="1766887"/>
                <a:pt x="2457450" y="2521743"/>
                <a:pt x="2581275" y="3276600"/>
              </a:cubicBezTo>
            </a:path>
          </a:pathLst>
        </a:custGeom>
        <a:noFill/>
        <a:ln w="38100">
          <a:solidFill>
            <a:srgbClr val="FF0000"/>
          </a:solidFill>
          <a:prstDash val="dash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9525</xdr:colOff>
      <xdr:row>8</xdr:row>
      <xdr:rowOff>133350</xdr:rowOff>
    </xdr:from>
    <xdr:to>
      <xdr:col>18</xdr:col>
      <xdr:colOff>266700</xdr:colOff>
      <xdr:row>9</xdr:row>
      <xdr:rowOff>190500</xdr:rowOff>
    </xdr:to>
    <xdr:sp macro="" textlink="">
      <xdr:nvSpPr>
        <xdr:cNvPr id="2" name="Right Triangl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/>
      </xdr:nvSpPr>
      <xdr:spPr>
        <a:xfrm flipH="1">
          <a:off x="5800725" y="1466850"/>
          <a:ext cx="257175" cy="247650"/>
        </a:xfrm>
        <a:prstGeom prst="rtTriangle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19050</xdr:colOff>
      <xdr:row>8</xdr:row>
      <xdr:rowOff>133350</xdr:rowOff>
    </xdr:from>
    <xdr:to>
      <xdr:col>21</xdr:col>
      <xdr:colOff>276225</xdr:colOff>
      <xdr:row>9</xdr:row>
      <xdr:rowOff>190500</xdr:rowOff>
    </xdr:to>
    <xdr:sp macro="" textlink="">
      <xdr:nvSpPr>
        <xdr:cNvPr id="8" name="Right Triangle 7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SpPr/>
      </xdr:nvSpPr>
      <xdr:spPr>
        <a:xfrm>
          <a:off x="6667500" y="1466850"/>
          <a:ext cx="257175" cy="247650"/>
        </a:xfrm>
        <a:prstGeom prst="rtTriangle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47626</xdr:colOff>
      <xdr:row>10</xdr:row>
      <xdr:rowOff>25399</xdr:rowOff>
    </xdr:from>
    <xdr:to>
      <xdr:col>20</xdr:col>
      <xdr:colOff>271884</xdr:colOff>
      <xdr:row>12</xdr:row>
      <xdr:rowOff>174776</xdr:rowOff>
    </xdr:to>
    <xdr:pic>
      <xdr:nvPicPr>
        <xdr:cNvPr id="10" name="Picture 9" descr="Image result for drilling bit"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00" r="10800" b="23784"/>
        <a:stretch/>
      </xdr:blipFill>
      <xdr:spPr bwMode="auto">
        <a:xfrm flipV="1">
          <a:off x="6124576" y="1752599"/>
          <a:ext cx="510008" cy="5430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19</xdr:col>
      <xdr:colOff>142876</xdr:colOff>
      <xdr:row>6</xdr:row>
      <xdr:rowOff>89512</xdr:rowOff>
    </xdr:from>
    <xdr:to>
      <xdr:col>20</xdr:col>
      <xdr:colOff>171450</xdr:colOff>
      <xdr:row>10</xdr:row>
      <xdr:rowOff>31172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SpPr/>
      </xdr:nvSpPr>
      <xdr:spPr>
        <a:xfrm>
          <a:off x="6219826" y="661012"/>
          <a:ext cx="314324" cy="713185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193676</xdr:colOff>
      <xdr:row>1</xdr:row>
      <xdr:rowOff>0</xdr:rowOff>
    </xdr:from>
    <xdr:to>
      <xdr:col>20</xdr:col>
      <xdr:colOff>117475</xdr:colOff>
      <xdr:row>6</xdr:row>
      <xdr:rowOff>88900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SpPr/>
      </xdr:nvSpPr>
      <xdr:spPr>
        <a:xfrm>
          <a:off x="6270626" y="0"/>
          <a:ext cx="209549" cy="1041400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9525</xdr:colOff>
      <xdr:row>8</xdr:row>
      <xdr:rowOff>133350</xdr:rowOff>
    </xdr:from>
    <xdr:to>
      <xdr:col>23</xdr:col>
      <xdr:colOff>266700</xdr:colOff>
      <xdr:row>9</xdr:row>
      <xdr:rowOff>190500</xdr:rowOff>
    </xdr:to>
    <xdr:sp macro="" textlink="">
      <xdr:nvSpPr>
        <xdr:cNvPr id="13" name="Right Triangle 12">
          <a:extLst>
            <a:ext uri="{FF2B5EF4-FFF2-40B4-BE49-F238E27FC236}">
              <a16:creationId xmlns:a16="http://schemas.microsoft.com/office/drawing/2014/main" id="{00000000-0008-0000-0F00-00000D000000}"/>
            </a:ext>
          </a:extLst>
        </xdr:cNvPr>
        <xdr:cNvSpPr/>
      </xdr:nvSpPr>
      <xdr:spPr>
        <a:xfrm flipH="1">
          <a:off x="5800725" y="1466850"/>
          <a:ext cx="257175" cy="247650"/>
        </a:xfrm>
        <a:prstGeom prst="rtTriangle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19050</xdr:colOff>
      <xdr:row>8</xdr:row>
      <xdr:rowOff>133350</xdr:rowOff>
    </xdr:from>
    <xdr:to>
      <xdr:col>26</xdr:col>
      <xdr:colOff>276225</xdr:colOff>
      <xdr:row>9</xdr:row>
      <xdr:rowOff>190500</xdr:rowOff>
    </xdr:to>
    <xdr:sp macro="" textlink="">
      <xdr:nvSpPr>
        <xdr:cNvPr id="14" name="Right Triangle 13">
          <a:extLst>
            <a:ext uri="{FF2B5EF4-FFF2-40B4-BE49-F238E27FC236}">
              <a16:creationId xmlns:a16="http://schemas.microsoft.com/office/drawing/2014/main" id="{00000000-0008-0000-0F00-00000E000000}"/>
            </a:ext>
          </a:extLst>
        </xdr:cNvPr>
        <xdr:cNvSpPr/>
      </xdr:nvSpPr>
      <xdr:spPr>
        <a:xfrm>
          <a:off x="6667500" y="1466850"/>
          <a:ext cx="257175" cy="247650"/>
        </a:xfrm>
        <a:prstGeom prst="rtTriangle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38966</xdr:colOff>
      <xdr:row>15</xdr:row>
      <xdr:rowOff>25398</xdr:rowOff>
    </xdr:from>
    <xdr:to>
      <xdr:col>25</xdr:col>
      <xdr:colOff>263224</xdr:colOff>
      <xdr:row>17</xdr:row>
      <xdr:rowOff>183434</xdr:rowOff>
    </xdr:to>
    <xdr:pic>
      <xdr:nvPicPr>
        <xdr:cNvPr id="15" name="Picture 14" descr="Image result for drilling bit">
          <a:extLst>
            <a:ext uri="{FF2B5EF4-FFF2-40B4-BE49-F238E27FC236}">
              <a16:creationId xmlns:a16="http://schemas.microsoft.com/office/drawing/2014/main" id="{00000000-0008-0000-0F00-00000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00" r="10800" b="23784"/>
        <a:stretch/>
      </xdr:blipFill>
      <xdr:spPr bwMode="auto">
        <a:xfrm flipV="1">
          <a:off x="7537739" y="2709716"/>
          <a:ext cx="510008" cy="539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24</xdr:col>
      <xdr:colOff>134216</xdr:colOff>
      <xdr:row>11</xdr:row>
      <xdr:rowOff>63536</xdr:rowOff>
    </xdr:from>
    <xdr:to>
      <xdr:col>25</xdr:col>
      <xdr:colOff>162790</xdr:colOff>
      <xdr:row>15</xdr:row>
      <xdr:rowOff>13855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F00-000010000000}"/>
            </a:ext>
          </a:extLst>
        </xdr:cNvPr>
        <xdr:cNvSpPr/>
      </xdr:nvSpPr>
      <xdr:spPr>
        <a:xfrm>
          <a:off x="7632989" y="1985854"/>
          <a:ext cx="314324" cy="712319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185016</xdr:colOff>
      <xdr:row>1</xdr:row>
      <xdr:rowOff>0</xdr:rowOff>
    </xdr:from>
    <xdr:to>
      <xdr:col>25</xdr:col>
      <xdr:colOff>108815</xdr:colOff>
      <xdr:row>11</xdr:row>
      <xdr:rowOff>51955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F00-000011000000}"/>
            </a:ext>
          </a:extLst>
        </xdr:cNvPr>
        <xdr:cNvSpPr/>
      </xdr:nvSpPr>
      <xdr:spPr>
        <a:xfrm>
          <a:off x="7683789" y="0"/>
          <a:ext cx="209549" cy="1974273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9525</xdr:colOff>
      <xdr:row>8</xdr:row>
      <xdr:rowOff>133350</xdr:rowOff>
    </xdr:from>
    <xdr:to>
      <xdr:col>28</xdr:col>
      <xdr:colOff>266700</xdr:colOff>
      <xdr:row>9</xdr:row>
      <xdr:rowOff>190500</xdr:rowOff>
    </xdr:to>
    <xdr:sp macro="" textlink="">
      <xdr:nvSpPr>
        <xdr:cNvPr id="18" name="Right Triangle 17">
          <a:extLst>
            <a:ext uri="{FF2B5EF4-FFF2-40B4-BE49-F238E27FC236}">
              <a16:creationId xmlns:a16="http://schemas.microsoft.com/office/drawing/2014/main" id="{00000000-0008-0000-0F00-000012000000}"/>
            </a:ext>
          </a:extLst>
        </xdr:cNvPr>
        <xdr:cNvSpPr/>
      </xdr:nvSpPr>
      <xdr:spPr>
        <a:xfrm flipH="1">
          <a:off x="7222548" y="1466850"/>
          <a:ext cx="257175" cy="247650"/>
        </a:xfrm>
        <a:prstGeom prst="rtTriangle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19050</xdr:colOff>
      <xdr:row>8</xdr:row>
      <xdr:rowOff>133350</xdr:rowOff>
    </xdr:from>
    <xdr:to>
      <xdr:col>31</xdr:col>
      <xdr:colOff>276225</xdr:colOff>
      <xdr:row>9</xdr:row>
      <xdr:rowOff>190500</xdr:rowOff>
    </xdr:to>
    <xdr:sp macro="" textlink="">
      <xdr:nvSpPr>
        <xdr:cNvPr id="19" name="Right Triangle 18">
          <a:extLst>
            <a:ext uri="{FF2B5EF4-FFF2-40B4-BE49-F238E27FC236}">
              <a16:creationId xmlns:a16="http://schemas.microsoft.com/office/drawing/2014/main" id="{00000000-0008-0000-0F00-000013000000}"/>
            </a:ext>
          </a:extLst>
        </xdr:cNvPr>
        <xdr:cNvSpPr/>
      </xdr:nvSpPr>
      <xdr:spPr>
        <a:xfrm>
          <a:off x="8089323" y="1466850"/>
          <a:ext cx="257175" cy="247650"/>
        </a:xfrm>
        <a:prstGeom prst="rtTriangle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34636</xdr:colOff>
      <xdr:row>19</xdr:row>
      <xdr:rowOff>16740</xdr:rowOff>
    </xdr:from>
    <xdr:to>
      <xdr:col>30</xdr:col>
      <xdr:colOff>258894</xdr:colOff>
      <xdr:row>21</xdr:row>
      <xdr:rowOff>174776</xdr:rowOff>
    </xdr:to>
    <xdr:pic>
      <xdr:nvPicPr>
        <xdr:cNvPr id="21" name="Picture 20" descr="Image result for drilling bit">
          <a:extLst>
            <a:ext uri="{FF2B5EF4-FFF2-40B4-BE49-F238E27FC236}">
              <a16:creationId xmlns:a16="http://schemas.microsoft.com/office/drawing/2014/main" id="{00000000-0008-0000-0F00-00001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00" r="10800" b="23784"/>
        <a:stretch/>
      </xdr:blipFill>
      <xdr:spPr bwMode="auto">
        <a:xfrm flipV="1">
          <a:off x="8962159" y="3463058"/>
          <a:ext cx="510008" cy="539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29</xdr:col>
      <xdr:colOff>129886</xdr:colOff>
      <xdr:row>15</xdr:row>
      <xdr:rowOff>72194</xdr:rowOff>
    </xdr:from>
    <xdr:to>
      <xdr:col>30</xdr:col>
      <xdr:colOff>158460</xdr:colOff>
      <xdr:row>19</xdr:row>
      <xdr:rowOff>22513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F00-000016000000}"/>
            </a:ext>
          </a:extLst>
        </xdr:cNvPr>
        <xdr:cNvSpPr/>
      </xdr:nvSpPr>
      <xdr:spPr>
        <a:xfrm>
          <a:off x="9057409" y="2756512"/>
          <a:ext cx="314324" cy="712319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180686</xdr:colOff>
      <xdr:row>1</xdr:row>
      <xdr:rowOff>0</xdr:rowOff>
    </xdr:from>
    <xdr:to>
      <xdr:col>30</xdr:col>
      <xdr:colOff>104485</xdr:colOff>
      <xdr:row>15</xdr:row>
      <xdr:rowOff>71582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F00-000017000000}"/>
            </a:ext>
          </a:extLst>
        </xdr:cNvPr>
        <xdr:cNvSpPr/>
      </xdr:nvSpPr>
      <xdr:spPr>
        <a:xfrm>
          <a:off x="9108209" y="0"/>
          <a:ext cx="209549" cy="2755900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8659</xdr:colOff>
      <xdr:row>9</xdr:row>
      <xdr:rowOff>190500</xdr:rowOff>
    </xdr:from>
    <xdr:to>
      <xdr:col>4</xdr:col>
      <xdr:colOff>8659</xdr:colOff>
      <xdr:row>26</xdr:row>
      <xdr:rowOff>190500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00000000-0008-0000-0F00-000019000000}"/>
            </a:ext>
          </a:extLst>
        </xdr:cNvPr>
        <xdr:cNvCxnSpPr/>
      </xdr:nvCxnSpPr>
      <xdr:spPr>
        <a:xfrm>
          <a:off x="1472045" y="1714500"/>
          <a:ext cx="0" cy="326447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22513</xdr:colOff>
      <xdr:row>10</xdr:row>
      <xdr:rowOff>13854</xdr:rowOff>
    </xdr:from>
    <xdr:to>
      <xdr:col>5</xdr:col>
      <xdr:colOff>22513</xdr:colOff>
      <xdr:row>27</xdr:row>
      <xdr:rowOff>13854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00000000-0008-0000-0F00-00001A000000}"/>
            </a:ext>
          </a:extLst>
        </xdr:cNvPr>
        <xdr:cNvCxnSpPr/>
      </xdr:nvCxnSpPr>
      <xdr:spPr>
        <a:xfrm>
          <a:off x="1771649" y="1737013"/>
          <a:ext cx="0" cy="326447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183572</xdr:colOff>
      <xdr:row>17</xdr:row>
      <xdr:rowOff>164523</xdr:rowOff>
    </xdr:from>
    <xdr:to>
      <xdr:col>10</xdr:col>
      <xdr:colOff>183572</xdr:colOff>
      <xdr:row>27</xdr:row>
      <xdr:rowOff>19049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00000000-0008-0000-0F00-00001B000000}"/>
            </a:ext>
          </a:extLst>
        </xdr:cNvPr>
        <xdr:cNvCxnSpPr/>
      </xdr:nvCxnSpPr>
      <xdr:spPr>
        <a:xfrm>
          <a:off x="3361458" y="3333750"/>
          <a:ext cx="0" cy="18201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275358</xdr:colOff>
      <xdr:row>10</xdr:row>
      <xdr:rowOff>6927</xdr:rowOff>
    </xdr:from>
    <xdr:to>
      <xdr:col>12</xdr:col>
      <xdr:colOff>275358</xdr:colOff>
      <xdr:row>27</xdr:row>
      <xdr:rowOff>6927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00000000-0008-0000-0F00-00001C000000}"/>
            </a:ext>
          </a:extLst>
        </xdr:cNvPr>
        <xdr:cNvCxnSpPr/>
      </xdr:nvCxnSpPr>
      <xdr:spPr>
        <a:xfrm>
          <a:off x="4024744" y="1730086"/>
          <a:ext cx="0" cy="326447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72735</xdr:colOff>
      <xdr:row>13</xdr:row>
      <xdr:rowOff>8659</xdr:rowOff>
    </xdr:from>
    <xdr:to>
      <xdr:col>6</xdr:col>
      <xdr:colOff>72735</xdr:colOff>
      <xdr:row>27</xdr:row>
      <xdr:rowOff>20782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00000000-0008-0000-0F00-00001D000000}"/>
            </a:ext>
          </a:extLst>
        </xdr:cNvPr>
        <xdr:cNvCxnSpPr/>
      </xdr:nvCxnSpPr>
      <xdr:spPr>
        <a:xfrm>
          <a:off x="2107621" y="2398568"/>
          <a:ext cx="0" cy="275705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102177</xdr:colOff>
      <xdr:row>9</xdr:row>
      <xdr:rowOff>197427</xdr:rowOff>
    </xdr:from>
    <xdr:to>
      <xdr:col>11</xdr:col>
      <xdr:colOff>102177</xdr:colOff>
      <xdr:row>26</xdr:row>
      <xdr:rowOff>188768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00000000-0008-0000-0F00-00001F000000}"/>
            </a:ext>
          </a:extLst>
        </xdr:cNvPr>
        <xdr:cNvCxnSpPr/>
      </xdr:nvCxnSpPr>
      <xdr:spPr>
        <a:xfrm>
          <a:off x="3565813" y="1799359"/>
          <a:ext cx="0" cy="332509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9525</xdr:colOff>
      <xdr:row>8</xdr:row>
      <xdr:rowOff>133350</xdr:rowOff>
    </xdr:from>
    <xdr:to>
      <xdr:col>33</xdr:col>
      <xdr:colOff>266700</xdr:colOff>
      <xdr:row>9</xdr:row>
      <xdr:rowOff>190500</xdr:rowOff>
    </xdr:to>
    <xdr:sp macro="" textlink="">
      <xdr:nvSpPr>
        <xdr:cNvPr id="33" name="Right Triangle 32">
          <a:extLst>
            <a:ext uri="{FF2B5EF4-FFF2-40B4-BE49-F238E27FC236}">
              <a16:creationId xmlns:a16="http://schemas.microsoft.com/office/drawing/2014/main" id="{00000000-0008-0000-0F00-000021000000}"/>
            </a:ext>
          </a:extLst>
        </xdr:cNvPr>
        <xdr:cNvSpPr/>
      </xdr:nvSpPr>
      <xdr:spPr>
        <a:xfrm flipH="1">
          <a:off x="8330911" y="1544782"/>
          <a:ext cx="257175" cy="247650"/>
        </a:xfrm>
        <a:prstGeom prst="rtTriangle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36</xdr:col>
      <xdr:colOff>19050</xdr:colOff>
      <xdr:row>8</xdr:row>
      <xdr:rowOff>133350</xdr:rowOff>
    </xdr:from>
    <xdr:to>
      <xdr:col>36</xdr:col>
      <xdr:colOff>276225</xdr:colOff>
      <xdr:row>9</xdr:row>
      <xdr:rowOff>190500</xdr:rowOff>
    </xdr:to>
    <xdr:sp macro="" textlink="">
      <xdr:nvSpPr>
        <xdr:cNvPr id="34" name="Right Triangle 33">
          <a:extLst>
            <a:ext uri="{FF2B5EF4-FFF2-40B4-BE49-F238E27FC236}">
              <a16:creationId xmlns:a16="http://schemas.microsoft.com/office/drawing/2014/main" id="{00000000-0008-0000-0F00-000022000000}"/>
            </a:ext>
          </a:extLst>
        </xdr:cNvPr>
        <xdr:cNvSpPr/>
      </xdr:nvSpPr>
      <xdr:spPr>
        <a:xfrm>
          <a:off x="9197686" y="1544782"/>
          <a:ext cx="257175" cy="247650"/>
        </a:xfrm>
        <a:prstGeom prst="rtTriangle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34</xdr:col>
      <xdr:colOff>43296</xdr:colOff>
      <xdr:row>21</xdr:row>
      <xdr:rowOff>34059</xdr:rowOff>
    </xdr:from>
    <xdr:to>
      <xdr:col>35</xdr:col>
      <xdr:colOff>267554</xdr:colOff>
      <xdr:row>23</xdr:row>
      <xdr:rowOff>183435</xdr:rowOff>
    </xdr:to>
    <xdr:pic>
      <xdr:nvPicPr>
        <xdr:cNvPr id="35" name="Picture 34" descr="Image result for drilling bit">
          <a:extLst>
            <a:ext uri="{FF2B5EF4-FFF2-40B4-BE49-F238E27FC236}">
              <a16:creationId xmlns:a16="http://schemas.microsoft.com/office/drawing/2014/main" id="{00000000-0008-0000-0F00-00002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00" r="10800" b="23784"/>
        <a:stretch/>
      </xdr:blipFill>
      <xdr:spPr bwMode="auto">
        <a:xfrm flipV="1">
          <a:off x="10079182" y="3982604"/>
          <a:ext cx="510008" cy="547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34</xdr:col>
      <xdr:colOff>129886</xdr:colOff>
      <xdr:row>17</xdr:row>
      <xdr:rowOff>89508</xdr:rowOff>
    </xdr:from>
    <xdr:to>
      <xdr:col>35</xdr:col>
      <xdr:colOff>158460</xdr:colOff>
      <xdr:row>21</xdr:row>
      <xdr:rowOff>31168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F00-000024000000}"/>
            </a:ext>
          </a:extLst>
        </xdr:cNvPr>
        <xdr:cNvSpPr/>
      </xdr:nvSpPr>
      <xdr:spPr>
        <a:xfrm>
          <a:off x="10165772" y="3250076"/>
          <a:ext cx="314324" cy="729637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34</xdr:col>
      <xdr:colOff>180686</xdr:colOff>
      <xdr:row>1</xdr:row>
      <xdr:rowOff>0</xdr:rowOff>
    </xdr:from>
    <xdr:to>
      <xdr:col>35</xdr:col>
      <xdr:colOff>104485</xdr:colOff>
      <xdr:row>17</xdr:row>
      <xdr:rowOff>95250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F00-000025000000}"/>
            </a:ext>
          </a:extLst>
        </xdr:cNvPr>
        <xdr:cNvSpPr/>
      </xdr:nvSpPr>
      <xdr:spPr>
        <a:xfrm>
          <a:off x="10216572" y="0"/>
          <a:ext cx="209549" cy="3255818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50222</xdr:colOff>
      <xdr:row>17</xdr:row>
      <xdr:rowOff>161059</xdr:rowOff>
    </xdr:from>
    <xdr:to>
      <xdr:col>9</xdr:col>
      <xdr:colOff>50222</xdr:colOff>
      <xdr:row>27</xdr:row>
      <xdr:rowOff>15585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F00-000026000000}"/>
            </a:ext>
          </a:extLst>
        </xdr:cNvPr>
        <xdr:cNvCxnSpPr/>
      </xdr:nvCxnSpPr>
      <xdr:spPr>
        <a:xfrm>
          <a:off x="2942358" y="3330286"/>
          <a:ext cx="0" cy="183745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223404</xdr:colOff>
      <xdr:row>22</xdr:row>
      <xdr:rowOff>8659</xdr:rowOff>
    </xdr:from>
    <xdr:to>
      <xdr:col>11</xdr:col>
      <xdr:colOff>223404</xdr:colOff>
      <xdr:row>26</xdr:row>
      <xdr:rowOff>180108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F00-000027000000}"/>
            </a:ext>
          </a:extLst>
        </xdr:cNvPr>
        <xdr:cNvCxnSpPr/>
      </xdr:nvCxnSpPr>
      <xdr:spPr>
        <a:xfrm>
          <a:off x="3687040" y="4165023"/>
          <a:ext cx="0" cy="96808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167986</xdr:colOff>
      <xdr:row>24</xdr:row>
      <xdr:rowOff>0</xdr:rowOff>
    </xdr:from>
    <xdr:to>
      <xdr:col>12</xdr:col>
      <xdr:colOff>167986</xdr:colOff>
      <xdr:row>26</xdr:row>
      <xdr:rowOff>185304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00000000-0008-0000-0F00-000028000000}"/>
            </a:ext>
          </a:extLst>
        </xdr:cNvPr>
        <xdr:cNvCxnSpPr/>
      </xdr:nvCxnSpPr>
      <xdr:spPr>
        <a:xfrm>
          <a:off x="3917372" y="4563341"/>
          <a:ext cx="0" cy="57496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207818</xdr:colOff>
      <xdr:row>23</xdr:row>
      <xdr:rowOff>187036</xdr:rowOff>
    </xdr:from>
    <xdr:to>
      <xdr:col>13</xdr:col>
      <xdr:colOff>207818</xdr:colOff>
      <xdr:row>26</xdr:row>
      <xdr:rowOff>164522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00000000-0008-0000-0F00-000029000000}"/>
            </a:ext>
          </a:extLst>
        </xdr:cNvPr>
        <xdr:cNvCxnSpPr/>
      </xdr:nvCxnSpPr>
      <xdr:spPr>
        <a:xfrm>
          <a:off x="4242954" y="4542559"/>
          <a:ext cx="0" cy="57496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12</xdr:row>
      <xdr:rowOff>133350</xdr:rowOff>
    </xdr:from>
    <xdr:to>
      <xdr:col>3</xdr:col>
      <xdr:colOff>266700</xdr:colOff>
      <xdr:row>13</xdr:row>
      <xdr:rowOff>190500</xdr:rowOff>
    </xdr:to>
    <xdr:sp macro="" textlink="">
      <xdr:nvSpPr>
        <xdr:cNvPr id="7" name="Right Triangle 6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SpPr/>
      </xdr:nvSpPr>
      <xdr:spPr>
        <a:xfrm flipH="1">
          <a:off x="9753600" y="1743075"/>
          <a:ext cx="257175" cy="247650"/>
        </a:xfrm>
        <a:prstGeom prst="rtTriangle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19050</xdr:colOff>
      <xdr:row>12</xdr:row>
      <xdr:rowOff>133350</xdr:rowOff>
    </xdr:from>
    <xdr:to>
      <xdr:col>6</xdr:col>
      <xdr:colOff>276225</xdr:colOff>
      <xdr:row>13</xdr:row>
      <xdr:rowOff>190500</xdr:rowOff>
    </xdr:to>
    <xdr:sp macro="" textlink="">
      <xdr:nvSpPr>
        <xdr:cNvPr id="8" name="Right Triangle 7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SpPr/>
      </xdr:nvSpPr>
      <xdr:spPr>
        <a:xfrm>
          <a:off x="10620375" y="1743075"/>
          <a:ext cx="257175" cy="247650"/>
        </a:xfrm>
        <a:prstGeom prst="rtTriangle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43296</xdr:colOff>
      <xdr:row>27</xdr:row>
      <xdr:rowOff>34059</xdr:rowOff>
    </xdr:from>
    <xdr:to>
      <xdr:col>5</xdr:col>
      <xdr:colOff>267554</xdr:colOff>
      <xdr:row>29</xdr:row>
      <xdr:rowOff>183435</xdr:rowOff>
    </xdr:to>
    <xdr:pic>
      <xdr:nvPicPr>
        <xdr:cNvPr id="9" name="Picture 8" descr="Image result for drilling bit">
          <a:extLst>
            <a:ext uri="{FF2B5EF4-FFF2-40B4-BE49-F238E27FC236}">
              <a16:creationId xmlns:a16="http://schemas.microsoft.com/office/drawing/2014/main" id="{00000000-0008-0000-1000-00000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00" r="10800" b="23784"/>
        <a:stretch/>
      </xdr:blipFill>
      <xdr:spPr bwMode="auto">
        <a:xfrm flipV="1">
          <a:off x="10073121" y="4196484"/>
          <a:ext cx="510008" cy="5494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129886</xdr:colOff>
      <xdr:row>23</xdr:row>
      <xdr:rowOff>89508</xdr:rowOff>
    </xdr:from>
    <xdr:to>
      <xdr:col>5</xdr:col>
      <xdr:colOff>158460</xdr:colOff>
      <xdr:row>27</xdr:row>
      <xdr:rowOff>31168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1000-00000A000000}"/>
            </a:ext>
          </a:extLst>
        </xdr:cNvPr>
        <xdr:cNvSpPr/>
      </xdr:nvSpPr>
      <xdr:spPr>
        <a:xfrm>
          <a:off x="10159711" y="3461358"/>
          <a:ext cx="314324" cy="732235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180686</xdr:colOff>
      <xdr:row>3</xdr:row>
      <xdr:rowOff>0</xdr:rowOff>
    </xdr:from>
    <xdr:to>
      <xdr:col>5</xdr:col>
      <xdr:colOff>104485</xdr:colOff>
      <xdr:row>23</xdr:row>
      <xdr:rowOff>95250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1000-00000B000000}"/>
            </a:ext>
          </a:extLst>
        </xdr:cNvPr>
        <xdr:cNvSpPr/>
      </xdr:nvSpPr>
      <xdr:spPr>
        <a:xfrm>
          <a:off x="2220624" y="190500"/>
          <a:ext cx="209549" cy="3929063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277812</xdr:colOff>
      <xdr:row>4</xdr:row>
      <xdr:rowOff>87313</xdr:rowOff>
    </xdr:from>
    <xdr:to>
      <xdr:col>7</xdr:col>
      <xdr:colOff>404811</xdr:colOff>
      <xdr:row>7</xdr:row>
      <xdr:rowOff>112568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00000000-0008-0000-1000-00000C000000}"/>
            </a:ext>
          </a:extLst>
        </xdr:cNvPr>
        <xdr:cNvGrpSpPr/>
      </xdr:nvGrpSpPr>
      <xdr:grpSpPr>
        <a:xfrm>
          <a:off x="2615348" y="823545"/>
          <a:ext cx="642362" cy="586632"/>
          <a:chOff x="1480705" y="2363932"/>
          <a:chExt cx="623454" cy="588818"/>
        </a:xfrm>
      </xdr:grpSpPr>
      <xdr:pic>
        <xdr:nvPicPr>
          <xdr:cNvPr id="13" name="Picture 12" descr="Image result for pressure gauge">
            <a:extLst>
              <a:ext uri="{FF2B5EF4-FFF2-40B4-BE49-F238E27FC236}">
                <a16:creationId xmlns:a16="http://schemas.microsoft.com/office/drawing/2014/main" id="{00000000-0008-0000-1000-00000D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2180" t="3639" r="11998" b="3578"/>
          <a:stretch/>
        </xdr:blipFill>
        <xdr:spPr bwMode="auto">
          <a:xfrm>
            <a:off x="1625023" y="2363932"/>
            <a:ext cx="479136" cy="58881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cxnSp macro="">
        <xdr:nvCxnSpPr>
          <xdr:cNvPr id="14" name="Straight Connector 13">
            <a:extLst>
              <a:ext uri="{FF2B5EF4-FFF2-40B4-BE49-F238E27FC236}">
                <a16:creationId xmlns:a16="http://schemas.microsoft.com/office/drawing/2014/main" id="{00000000-0008-0000-1000-00000E000000}"/>
              </a:ext>
            </a:extLst>
          </xdr:cNvPr>
          <xdr:cNvCxnSpPr/>
        </xdr:nvCxnSpPr>
        <xdr:spPr>
          <a:xfrm>
            <a:off x="1480705" y="2935433"/>
            <a:ext cx="398318" cy="0"/>
          </a:xfrm>
          <a:prstGeom prst="line">
            <a:avLst/>
          </a:prstGeom>
          <a:ln w="60325">
            <a:solidFill>
              <a:schemeClr val="accent2">
                <a:lumMod val="7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33337</xdr:colOff>
      <xdr:row>0</xdr:row>
      <xdr:rowOff>57150</xdr:rowOff>
    </xdr:from>
    <xdr:to>
      <xdr:col>7</xdr:col>
      <xdr:colOff>160336</xdr:colOff>
      <xdr:row>3</xdr:row>
      <xdr:rowOff>90343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GrpSpPr/>
      </xdr:nvGrpSpPr>
      <xdr:grpSpPr>
        <a:xfrm>
          <a:off x="2370873" y="57150"/>
          <a:ext cx="642362" cy="585367"/>
          <a:chOff x="1480705" y="2363932"/>
          <a:chExt cx="623454" cy="588818"/>
        </a:xfrm>
      </xdr:grpSpPr>
      <xdr:pic>
        <xdr:nvPicPr>
          <xdr:cNvPr id="22" name="Picture 21" descr="Image result for pressure gauge">
            <a:extLst>
              <a:ext uri="{FF2B5EF4-FFF2-40B4-BE49-F238E27FC236}">
                <a16:creationId xmlns:a16="http://schemas.microsoft.com/office/drawing/2014/main" id="{00000000-0008-0000-1000-000016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2180" t="3639" r="11998" b="3578"/>
          <a:stretch/>
        </xdr:blipFill>
        <xdr:spPr bwMode="auto">
          <a:xfrm>
            <a:off x="1625023" y="2363932"/>
            <a:ext cx="479136" cy="58881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cxnSp macro="">
        <xdr:nvCxnSpPr>
          <xdr:cNvPr id="23" name="Straight Connector 22">
            <a:extLst>
              <a:ext uri="{FF2B5EF4-FFF2-40B4-BE49-F238E27FC236}">
                <a16:creationId xmlns:a16="http://schemas.microsoft.com/office/drawing/2014/main" id="{00000000-0008-0000-1000-000017000000}"/>
              </a:ext>
            </a:extLst>
          </xdr:cNvPr>
          <xdr:cNvCxnSpPr/>
        </xdr:nvCxnSpPr>
        <xdr:spPr>
          <a:xfrm>
            <a:off x="1480705" y="2935433"/>
            <a:ext cx="398318" cy="0"/>
          </a:xfrm>
          <a:prstGeom prst="line">
            <a:avLst/>
          </a:prstGeom>
          <a:ln w="60325">
            <a:solidFill>
              <a:schemeClr val="accent2">
                <a:lumMod val="7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9525</xdr:colOff>
      <xdr:row>12</xdr:row>
      <xdr:rowOff>133350</xdr:rowOff>
    </xdr:from>
    <xdr:to>
      <xdr:col>9</xdr:col>
      <xdr:colOff>266700</xdr:colOff>
      <xdr:row>13</xdr:row>
      <xdr:rowOff>190500</xdr:rowOff>
    </xdr:to>
    <xdr:sp macro="" textlink="">
      <xdr:nvSpPr>
        <xdr:cNvPr id="24" name="Right Triangle 23">
          <a:extLst>
            <a:ext uri="{FF2B5EF4-FFF2-40B4-BE49-F238E27FC236}">
              <a16:creationId xmlns:a16="http://schemas.microsoft.com/office/drawing/2014/main" id="{00000000-0008-0000-1000-000018000000}"/>
            </a:ext>
          </a:extLst>
        </xdr:cNvPr>
        <xdr:cNvSpPr/>
      </xdr:nvSpPr>
      <xdr:spPr>
        <a:xfrm flipH="1">
          <a:off x="1843088" y="2435225"/>
          <a:ext cx="200025" cy="247650"/>
        </a:xfrm>
        <a:prstGeom prst="rtTriangle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19050</xdr:colOff>
      <xdr:row>12</xdr:row>
      <xdr:rowOff>133350</xdr:rowOff>
    </xdr:from>
    <xdr:to>
      <xdr:col>12</xdr:col>
      <xdr:colOff>276225</xdr:colOff>
      <xdr:row>13</xdr:row>
      <xdr:rowOff>190500</xdr:rowOff>
    </xdr:to>
    <xdr:sp macro="" textlink="">
      <xdr:nvSpPr>
        <xdr:cNvPr id="25" name="Right Triangle 24">
          <a:extLst>
            <a:ext uri="{FF2B5EF4-FFF2-40B4-BE49-F238E27FC236}">
              <a16:creationId xmlns:a16="http://schemas.microsoft.com/office/drawing/2014/main" id="{00000000-0008-0000-1000-000019000000}"/>
            </a:ext>
          </a:extLst>
        </xdr:cNvPr>
        <xdr:cNvSpPr/>
      </xdr:nvSpPr>
      <xdr:spPr>
        <a:xfrm>
          <a:off x="2630488" y="2435225"/>
          <a:ext cx="190500" cy="247650"/>
        </a:xfrm>
        <a:prstGeom prst="rtTriangle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35358</xdr:colOff>
      <xdr:row>27</xdr:row>
      <xdr:rowOff>34059</xdr:rowOff>
    </xdr:from>
    <xdr:to>
      <xdr:col>11</xdr:col>
      <xdr:colOff>259616</xdr:colOff>
      <xdr:row>29</xdr:row>
      <xdr:rowOff>183435</xdr:rowOff>
    </xdr:to>
    <xdr:pic>
      <xdr:nvPicPr>
        <xdr:cNvPr id="26" name="Picture 25" descr="Image result for drilling bit">
          <a:extLst>
            <a:ext uri="{FF2B5EF4-FFF2-40B4-BE49-F238E27FC236}">
              <a16:creationId xmlns:a16="http://schemas.microsoft.com/office/drawing/2014/main" id="{00000000-0008-0000-1000-00001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00" r="10800" b="23784"/>
        <a:stretch/>
      </xdr:blipFill>
      <xdr:spPr bwMode="auto">
        <a:xfrm flipV="1">
          <a:off x="4281921" y="5312497"/>
          <a:ext cx="510008" cy="5303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129886</xdr:colOff>
      <xdr:row>23</xdr:row>
      <xdr:rowOff>89508</xdr:rowOff>
    </xdr:from>
    <xdr:to>
      <xdr:col>11</xdr:col>
      <xdr:colOff>158460</xdr:colOff>
      <xdr:row>27</xdr:row>
      <xdr:rowOff>31168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1000-00001B000000}"/>
            </a:ext>
          </a:extLst>
        </xdr:cNvPr>
        <xdr:cNvSpPr/>
      </xdr:nvSpPr>
      <xdr:spPr>
        <a:xfrm>
          <a:off x="2169824" y="4510696"/>
          <a:ext cx="314324" cy="703660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180686</xdr:colOff>
      <xdr:row>3</xdr:row>
      <xdr:rowOff>0</xdr:rowOff>
    </xdr:from>
    <xdr:to>
      <xdr:col>11</xdr:col>
      <xdr:colOff>104485</xdr:colOff>
      <xdr:row>23</xdr:row>
      <xdr:rowOff>95250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1000-00001C000000}"/>
            </a:ext>
          </a:extLst>
        </xdr:cNvPr>
        <xdr:cNvSpPr/>
      </xdr:nvSpPr>
      <xdr:spPr>
        <a:xfrm>
          <a:off x="2220624" y="571500"/>
          <a:ext cx="209549" cy="3944938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277812</xdr:colOff>
      <xdr:row>4</xdr:row>
      <xdr:rowOff>87313</xdr:rowOff>
    </xdr:from>
    <xdr:to>
      <xdr:col>13</xdr:col>
      <xdr:colOff>404811</xdr:colOff>
      <xdr:row>7</xdr:row>
      <xdr:rowOff>112568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00000000-0008-0000-1000-00001D000000}"/>
            </a:ext>
          </a:extLst>
        </xdr:cNvPr>
        <xdr:cNvGrpSpPr/>
      </xdr:nvGrpSpPr>
      <xdr:grpSpPr>
        <a:xfrm>
          <a:off x="5164551" y="823545"/>
          <a:ext cx="642361" cy="586632"/>
          <a:chOff x="1480705" y="2363932"/>
          <a:chExt cx="623454" cy="588818"/>
        </a:xfrm>
      </xdr:grpSpPr>
      <xdr:pic>
        <xdr:nvPicPr>
          <xdr:cNvPr id="30" name="Picture 29" descr="Image result for pressure gauge">
            <a:extLst>
              <a:ext uri="{FF2B5EF4-FFF2-40B4-BE49-F238E27FC236}">
                <a16:creationId xmlns:a16="http://schemas.microsoft.com/office/drawing/2014/main" id="{00000000-0008-0000-1000-00001E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2180" t="3639" r="11998" b="3578"/>
          <a:stretch/>
        </xdr:blipFill>
        <xdr:spPr bwMode="auto">
          <a:xfrm>
            <a:off x="1625023" y="2363932"/>
            <a:ext cx="479136" cy="58881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cxnSp macro="">
        <xdr:nvCxnSpPr>
          <xdr:cNvPr id="31" name="Straight Connector 30">
            <a:extLst>
              <a:ext uri="{FF2B5EF4-FFF2-40B4-BE49-F238E27FC236}">
                <a16:creationId xmlns:a16="http://schemas.microsoft.com/office/drawing/2014/main" id="{00000000-0008-0000-1000-00001F000000}"/>
              </a:ext>
            </a:extLst>
          </xdr:cNvPr>
          <xdr:cNvCxnSpPr/>
        </xdr:nvCxnSpPr>
        <xdr:spPr>
          <a:xfrm>
            <a:off x="1480705" y="2935433"/>
            <a:ext cx="398318" cy="0"/>
          </a:xfrm>
          <a:prstGeom prst="line">
            <a:avLst/>
          </a:prstGeom>
          <a:ln w="60325">
            <a:solidFill>
              <a:schemeClr val="accent2">
                <a:lumMod val="7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33337</xdr:colOff>
      <xdr:row>0</xdr:row>
      <xdr:rowOff>57150</xdr:rowOff>
    </xdr:from>
    <xdr:to>
      <xdr:col>13</xdr:col>
      <xdr:colOff>160336</xdr:colOff>
      <xdr:row>3</xdr:row>
      <xdr:rowOff>90343</xdr:rowOff>
    </xdr:to>
    <xdr:grpSp>
      <xdr:nvGrpSpPr>
        <xdr:cNvPr id="32" name="Group 31">
          <a:extLst>
            <a:ext uri="{FF2B5EF4-FFF2-40B4-BE49-F238E27FC236}">
              <a16:creationId xmlns:a16="http://schemas.microsoft.com/office/drawing/2014/main" id="{00000000-0008-0000-1000-000020000000}"/>
            </a:ext>
          </a:extLst>
        </xdr:cNvPr>
        <xdr:cNvGrpSpPr/>
      </xdr:nvGrpSpPr>
      <xdr:grpSpPr>
        <a:xfrm>
          <a:off x="4920076" y="57150"/>
          <a:ext cx="642361" cy="585367"/>
          <a:chOff x="1480705" y="2363932"/>
          <a:chExt cx="623454" cy="588818"/>
        </a:xfrm>
      </xdr:grpSpPr>
      <xdr:pic>
        <xdr:nvPicPr>
          <xdr:cNvPr id="33" name="Picture 32" descr="Image result for pressure gauge">
            <a:extLst>
              <a:ext uri="{FF2B5EF4-FFF2-40B4-BE49-F238E27FC236}">
                <a16:creationId xmlns:a16="http://schemas.microsoft.com/office/drawing/2014/main" id="{00000000-0008-0000-1000-000021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2180" t="3639" r="11998" b="3578"/>
          <a:stretch/>
        </xdr:blipFill>
        <xdr:spPr bwMode="auto">
          <a:xfrm>
            <a:off x="1625023" y="2363932"/>
            <a:ext cx="479136" cy="58881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cxnSp macro="">
        <xdr:nvCxnSpPr>
          <xdr:cNvPr id="34" name="Straight Connector 33">
            <a:extLst>
              <a:ext uri="{FF2B5EF4-FFF2-40B4-BE49-F238E27FC236}">
                <a16:creationId xmlns:a16="http://schemas.microsoft.com/office/drawing/2014/main" id="{00000000-0008-0000-1000-000022000000}"/>
              </a:ext>
            </a:extLst>
          </xdr:cNvPr>
          <xdr:cNvCxnSpPr/>
        </xdr:nvCxnSpPr>
        <xdr:spPr>
          <a:xfrm>
            <a:off x="1480705" y="2935433"/>
            <a:ext cx="398318" cy="0"/>
          </a:xfrm>
          <a:prstGeom prst="line">
            <a:avLst/>
          </a:prstGeom>
          <a:ln w="60325">
            <a:solidFill>
              <a:schemeClr val="accent2">
                <a:lumMod val="7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3031</xdr:colOff>
      <xdr:row>14</xdr:row>
      <xdr:rowOff>23813</xdr:rowOff>
    </xdr:from>
    <xdr:to>
      <xdr:col>13</xdr:col>
      <xdr:colOff>36791</xdr:colOff>
      <xdr:row>15</xdr:row>
      <xdr:rowOff>40285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00000000-0008-0000-1000-000027000000}"/>
            </a:ext>
          </a:extLst>
        </xdr:cNvPr>
        <xdr:cNvGrpSpPr/>
      </xdr:nvGrpSpPr>
      <xdr:grpSpPr>
        <a:xfrm flipH="1">
          <a:off x="5184263" y="2637436"/>
          <a:ext cx="254629" cy="209733"/>
          <a:chOff x="2333862" y="6389847"/>
          <a:chExt cx="224793" cy="219551"/>
        </a:xfrm>
      </xdr:grpSpPr>
      <xdr:sp macro="" textlink="">
        <xdr:nvSpPr>
          <xdr:cNvPr id="44" name="Isosceles Triangle 43">
            <a:extLst>
              <a:ext uri="{FF2B5EF4-FFF2-40B4-BE49-F238E27FC236}">
                <a16:creationId xmlns:a16="http://schemas.microsoft.com/office/drawing/2014/main" id="{00000000-0008-0000-1000-00002C000000}"/>
              </a:ext>
            </a:extLst>
          </xdr:cNvPr>
          <xdr:cNvSpPr/>
        </xdr:nvSpPr>
        <xdr:spPr>
          <a:xfrm rot="16200000">
            <a:off x="2418042" y="6302096"/>
            <a:ext cx="45719" cy="221221"/>
          </a:xfrm>
          <a:prstGeom prst="triangl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5" name="Isosceles Triangle 44">
            <a:extLst>
              <a:ext uri="{FF2B5EF4-FFF2-40B4-BE49-F238E27FC236}">
                <a16:creationId xmlns:a16="http://schemas.microsoft.com/office/drawing/2014/main" id="{00000000-0008-0000-1000-00002D000000}"/>
              </a:ext>
            </a:extLst>
          </xdr:cNvPr>
          <xdr:cNvSpPr/>
        </xdr:nvSpPr>
        <xdr:spPr>
          <a:xfrm rot="16200000">
            <a:off x="2421614" y="6359247"/>
            <a:ext cx="45719" cy="221221"/>
          </a:xfrm>
          <a:prstGeom prst="triangl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6" name="Isosceles Triangle 45">
            <a:extLst>
              <a:ext uri="{FF2B5EF4-FFF2-40B4-BE49-F238E27FC236}">
                <a16:creationId xmlns:a16="http://schemas.microsoft.com/office/drawing/2014/main" id="{00000000-0008-0000-1000-00002E000000}"/>
              </a:ext>
            </a:extLst>
          </xdr:cNvPr>
          <xdr:cNvSpPr/>
        </xdr:nvSpPr>
        <xdr:spPr>
          <a:xfrm rot="16200000">
            <a:off x="2421613" y="6418777"/>
            <a:ext cx="45719" cy="221221"/>
          </a:xfrm>
          <a:prstGeom prst="triangl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7" name="Isosceles Triangle 46">
            <a:extLst>
              <a:ext uri="{FF2B5EF4-FFF2-40B4-BE49-F238E27FC236}">
                <a16:creationId xmlns:a16="http://schemas.microsoft.com/office/drawing/2014/main" id="{00000000-0008-0000-1000-00002F000000}"/>
              </a:ext>
            </a:extLst>
          </xdr:cNvPr>
          <xdr:cNvSpPr/>
        </xdr:nvSpPr>
        <xdr:spPr>
          <a:xfrm rot="16200000">
            <a:off x="2419232" y="6475928"/>
            <a:ext cx="45719" cy="221221"/>
          </a:xfrm>
          <a:prstGeom prst="triangl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8</xdr:col>
      <xdr:colOff>567535</xdr:colOff>
      <xdr:row>14</xdr:row>
      <xdr:rowOff>8659</xdr:rowOff>
    </xdr:from>
    <xdr:to>
      <xdr:col>9</xdr:col>
      <xdr:colOff>205858</xdr:colOff>
      <xdr:row>15</xdr:row>
      <xdr:rowOff>29772</xdr:rowOff>
    </xdr:to>
    <xdr:grpSp>
      <xdr:nvGrpSpPr>
        <xdr:cNvPr id="49" name="Group 48">
          <a:extLst>
            <a:ext uri="{FF2B5EF4-FFF2-40B4-BE49-F238E27FC236}">
              <a16:creationId xmlns:a16="http://schemas.microsoft.com/office/drawing/2014/main" id="{00000000-0008-0000-1000-000031000000}"/>
            </a:ext>
          </a:extLst>
        </xdr:cNvPr>
        <xdr:cNvGrpSpPr/>
      </xdr:nvGrpSpPr>
      <xdr:grpSpPr>
        <a:xfrm>
          <a:off x="4331521" y="2622282"/>
          <a:ext cx="245714" cy="214374"/>
          <a:chOff x="2333862" y="6389847"/>
          <a:chExt cx="224793" cy="219551"/>
        </a:xfrm>
      </xdr:grpSpPr>
      <xdr:sp macro="" textlink="">
        <xdr:nvSpPr>
          <xdr:cNvPr id="54" name="Isosceles Triangle 53">
            <a:extLst>
              <a:ext uri="{FF2B5EF4-FFF2-40B4-BE49-F238E27FC236}">
                <a16:creationId xmlns:a16="http://schemas.microsoft.com/office/drawing/2014/main" id="{00000000-0008-0000-1000-000036000000}"/>
              </a:ext>
            </a:extLst>
          </xdr:cNvPr>
          <xdr:cNvSpPr/>
        </xdr:nvSpPr>
        <xdr:spPr>
          <a:xfrm rot="16200000">
            <a:off x="2418042" y="6302096"/>
            <a:ext cx="45719" cy="221221"/>
          </a:xfrm>
          <a:prstGeom prst="triangl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5" name="Isosceles Triangle 54">
            <a:extLst>
              <a:ext uri="{FF2B5EF4-FFF2-40B4-BE49-F238E27FC236}">
                <a16:creationId xmlns:a16="http://schemas.microsoft.com/office/drawing/2014/main" id="{00000000-0008-0000-1000-000037000000}"/>
              </a:ext>
            </a:extLst>
          </xdr:cNvPr>
          <xdr:cNvSpPr/>
        </xdr:nvSpPr>
        <xdr:spPr>
          <a:xfrm rot="16200000">
            <a:off x="2421614" y="6359247"/>
            <a:ext cx="45719" cy="221221"/>
          </a:xfrm>
          <a:prstGeom prst="triangl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6" name="Isosceles Triangle 55">
            <a:extLst>
              <a:ext uri="{FF2B5EF4-FFF2-40B4-BE49-F238E27FC236}">
                <a16:creationId xmlns:a16="http://schemas.microsoft.com/office/drawing/2014/main" id="{00000000-0008-0000-1000-000038000000}"/>
              </a:ext>
            </a:extLst>
          </xdr:cNvPr>
          <xdr:cNvSpPr/>
        </xdr:nvSpPr>
        <xdr:spPr>
          <a:xfrm rot="16200000">
            <a:off x="2421613" y="6418777"/>
            <a:ext cx="45719" cy="221221"/>
          </a:xfrm>
          <a:prstGeom prst="triangl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7" name="Isosceles Triangle 56">
            <a:extLst>
              <a:ext uri="{FF2B5EF4-FFF2-40B4-BE49-F238E27FC236}">
                <a16:creationId xmlns:a16="http://schemas.microsoft.com/office/drawing/2014/main" id="{00000000-0008-0000-1000-000039000000}"/>
              </a:ext>
            </a:extLst>
          </xdr:cNvPr>
          <xdr:cNvSpPr/>
        </xdr:nvSpPr>
        <xdr:spPr>
          <a:xfrm rot="16200000">
            <a:off x="2419232" y="6475928"/>
            <a:ext cx="45719" cy="221221"/>
          </a:xfrm>
          <a:prstGeom prst="triangl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16</xdr:col>
      <xdr:colOff>9525</xdr:colOff>
      <xdr:row>12</xdr:row>
      <xdr:rowOff>133350</xdr:rowOff>
    </xdr:from>
    <xdr:to>
      <xdr:col>16</xdr:col>
      <xdr:colOff>266700</xdr:colOff>
      <xdr:row>13</xdr:row>
      <xdr:rowOff>190500</xdr:rowOff>
    </xdr:to>
    <xdr:sp macro="" textlink="">
      <xdr:nvSpPr>
        <xdr:cNvPr id="36" name="Right Triangle 35">
          <a:extLst>
            <a:ext uri="{FF2B5EF4-FFF2-40B4-BE49-F238E27FC236}">
              <a16:creationId xmlns:a16="http://schemas.microsoft.com/office/drawing/2014/main" id="{00000000-0008-0000-1000-000024000000}"/>
            </a:ext>
          </a:extLst>
        </xdr:cNvPr>
        <xdr:cNvSpPr/>
      </xdr:nvSpPr>
      <xdr:spPr>
        <a:xfrm flipH="1">
          <a:off x="4049713" y="2435225"/>
          <a:ext cx="200025" cy="247650"/>
        </a:xfrm>
        <a:prstGeom prst="rtTriangle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19050</xdr:colOff>
      <xdr:row>12</xdr:row>
      <xdr:rowOff>133350</xdr:rowOff>
    </xdr:from>
    <xdr:to>
      <xdr:col>19</xdr:col>
      <xdr:colOff>276225</xdr:colOff>
      <xdr:row>13</xdr:row>
      <xdr:rowOff>190500</xdr:rowOff>
    </xdr:to>
    <xdr:sp macro="" textlink="">
      <xdr:nvSpPr>
        <xdr:cNvPr id="37" name="Right Triangle 36">
          <a:extLst>
            <a:ext uri="{FF2B5EF4-FFF2-40B4-BE49-F238E27FC236}">
              <a16:creationId xmlns:a16="http://schemas.microsoft.com/office/drawing/2014/main" id="{00000000-0008-0000-1000-000025000000}"/>
            </a:ext>
          </a:extLst>
        </xdr:cNvPr>
        <xdr:cNvSpPr/>
      </xdr:nvSpPr>
      <xdr:spPr>
        <a:xfrm>
          <a:off x="4837113" y="2435225"/>
          <a:ext cx="190500" cy="247650"/>
        </a:xfrm>
        <a:prstGeom prst="rtTriangle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35358</xdr:colOff>
      <xdr:row>27</xdr:row>
      <xdr:rowOff>34059</xdr:rowOff>
    </xdr:from>
    <xdr:to>
      <xdr:col>18</xdr:col>
      <xdr:colOff>259616</xdr:colOff>
      <xdr:row>29</xdr:row>
      <xdr:rowOff>183435</xdr:rowOff>
    </xdr:to>
    <xdr:pic>
      <xdr:nvPicPr>
        <xdr:cNvPr id="38" name="Picture 37" descr="Image result for drilling bit">
          <a:extLst>
            <a:ext uri="{FF2B5EF4-FFF2-40B4-BE49-F238E27FC236}">
              <a16:creationId xmlns:a16="http://schemas.microsoft.com/office/drawing/2014/main" id="{00000000-0008-0000-1000-00002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00" r="10800" b="23784"/>
        <a:stretch/>
      </xdr:blipFill>
      <xdr:spPr bwMode="auto">
        <a:xfrm flipV="1">
          <a:off x="4281921" y="5312497"/>
          <a:ext cx="510008" cy="5303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129886</xdr:colOff>
      <xdr:row>23</xdr:row>
      <xdr:rowOff>89508</xdr:rowOff>
    </xdr:from>
    <xdr:to>
      <xdr:col>18</xdr:col>
      <xdr:colOff>158460</xdr:colOff>
      <xdr:row>27</xdr:row>
      <xdr:rowOff>31168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1000-000028000000}"/>
            </a:ext>
          </a:extLst>
        </xdr:cNvPr>
        <xdr:cNvSpPr/>
      </xdr:nvSpPr>
      <xdr:spPr>
        <a:xfrm>
          <a:off x="4376449" y="4558321"/>
          <a:ext cx="314324" cy="751285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180686</xdr:colOff>
      <xdr:row>3</xdr:row>
      <xdr:rowOff>0</xdr:rowOff>
    </xdr:from>
    <xdr:to>
      <xdr:col>18</xdr:col>
      <xdr:colOff>104485</xdr:colOff>
      <xdr:row>23</xdr:row>
      <xdr:rowOff>95250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1000-000029000000}"/>
            </a:ext>
          </a:extLst>
        </xdr:cNvPr>
        <xdr:cNvSpPr/>
      </xdr:nvSpPr>
      <xdr:spPr>
        <a:xfrm>
          <a:off x="4427249" y="571500"/>
          <a:ext cx="209549" cy="3992563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277812</xdr:colOff>
      <xdr:row>4</xdr:row>
      <xdr:rowOff>87313</xdr:rowOff>
    </xdr:from>
    <xdr:to>
      <xdr:col>20</xdr:col>
      <xdr:colOff>404811</xdr:colOff>
      <xdr:row>7</xdr:row>
      <xdr:rowOff>112568</xdr:rowOff>
    </xdr:to>
    <xdr:grpSp>
      <xdr:nvGrpSpPr>
        <xdr:cNvPr id="42" name="Group 41">
          <a:extLst>
            <a:ext uri="{FF2B5EF4-FFF2-40B4-BE49-F238E27FC236}">
              <a16:creationId xmlns:a16="http://schemas.microsoft.com/office/drawing/2014/main" id="{00000000-0008-0000-1000-00002A000000}"/>
            </a:ext>
          </a:extLst>
        </xdr:cNvPr>
        <xdr:cNvGrpSpPr/>
      </xdr:nvGrpSpPr>
      <xdr:grpSpPr>
        <a:xfrm>
          <a:off x="8017450" y="823545"/>
          <a:ext cx="642361" cy="586632"/>
          <a:chOff x="1480705" y="2363932"/>
          <a:chExt cx="623454" cy="588818"/>
        </a:xfrm>
      </xdr:grpSpPr>
      <xdr:pic>
        <xdr:nvPicPr>
          <xdr:cNvPr id="43" name="Picture 42" descr="Image result for pressure gauge">
            <a:extLst>
              <a:ext uri="{FF2B5EF4-FFF2-40B4-BE49-F238E27FC236}">
                <a16:creationId xmlns:a16="http://schemas.microsoft.com/office/drawing/2014/main" id="{00000000-0008-0000-1000-00002B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2180" t="3639" r="11998" b="3578"/>
          <a:stretch/>
        </xdr:blipFill>
        <xdr:spPr bwMode="auto">
          <a:xfrm>
            <a:off x="1625023" y="2363932"/>
            <a:ext cx="479136" cy="58881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cxnSp macro="">
        <xdr:nvCxnSpPr>
          <xdr:cNvPr id="48" name="Straight Connector 47">
            <a:extLst>
              <a:ext uri="{FF2B5EF4-FFF2-40B4-BE49-F238E27FC236}">
                <a16:creationId xmlns:a16="http://schemas.microsoft.com/office/drawing/2014/main" id="{00000000-0008-0000-1000-000030000000}"/>
              </a:ext>
            </a:extLst>
          </xdr:cNvPr>
          <xdr:cNvCxnSpPr/>
        </xdr:nvCxnSpPr>
        <xdr:spPr>
          <a:xfrm>
            <a:off x="1480705" y="2935433"/>
            <a:ext cx="398318" cy="0"/>
          </a:xfrm>
          <a:prstGeom prst="line">
            <a:avLst/>
          </a:prstGeom>
          <a:ln w="60325">
            <a:solidFill>
              <a:schemeClr val="accent2">
                <a:lumMod val="7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33337</xdr:colOff>
      <xdr:row>0</xdr:row>
      <xdr:rowOff>57150</xdr:rowOff>
    </xdr:from>
    <xdr:to>
      <xdr:col>20</xdr:col>
      <xdr:colOff>160336</xdr:colOff>
      <xdr:row>3</xdr:row>
      <xdr:rowOff>90343</xdr:rowOff>
    </xdr:to>
    <xdr:grpSp>
      <xdr:nvGrpSpPr>
        <xdr:cNvPr id="50" name="Group 49">
          <a:extLst>
            <a:ext uri="{FF2B5EF4-FFF2-40B4-BE49-F238E27FC236}">
              <a16:creationId xmlns:a16="http://schemas.microsoft.com/office/drawing/2014/main" id="{00000000-0008-0000-1000-000032000000}"/>
            </a:ext>
          </a:extLst>
        </xdr:cNvPr>
        <xdr:cNvGrpSpPr/>
      </xdr:nvGrpSpPr>
      <xdr:grpSpPr>
        <a:xfrm>
          <a:off x="7772975" y="57150"/>
          <a:ext cx="642361" cy="585367"/>
          <a:chOff x="1480705" y="2363932"/>
          <a:chExt cx="623454" cy="588818"/>
        </a:xfrm>
      </xdr:grpSpPr>
      <xdr:pic>
        <xdr:nvPicPr>
          <xdr:cNvPr id="51" name="Picture 50" descr="Image result for pressure gauge">
            <a:extLst>
              <a:ext uri="{FF2B5EF4-FFF2-40B4-BE49-F238E27FC236}">
                <a16:creationId xmlns:a16="http://schemas.microsoft.com/office/drawing/2014/main" id="{00000000-0008-0000-1000-000033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2180" t="3639" r="11998" b="3578"/>
          <a:stretch/>
        </xdr:blipFill>
        <xdr:spPr bwMode="auto">
          <a:xfrm>
            <a:off x="1625023" y="2363932"/>
            <a:ext cx="479136" cy="58881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cxnSp macro="">
        <xdr:nvCxnSpPr>
          <xdr:cNvPr id="52" name="Straight Connector 51">
            <a:extLst>
              <a:ext uri="{FF2B5EF4-FFF2-40B4-BE49-F238E27FC236}">
                <a16:creationId xmlns:a16="http://schemas.microsoft.com/office/drawing/2014/main" id="{00000000-0008-0000-1000-000034000000}"/>
              </a:ext>
            </a:extLst>
          </xdr:cNvPr>
          <xdr:cNvCxnSpPr/>
        </xdr:nvCxnSpPr>
        <xdr:spPr>
          <a:xfrm>
            <a:off x="1480705" y="2935433"/>
            <a:ext cx="398318" cy="0"/>
          </a:xfrm>
          <a:prstGeom prst="line">
            <a:avLst/>
          </a:prstGeom>
          <a:ln w="60325">
            <a:solidFill>
              <a:schemeClr val="accent2">
                <a:lumMod val="7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19</xdr:col>
      <xdr:colOff>3031</xdr:colOff>
      <xdr:row>14</xdr:row>
      <xdr:rowOff>23813</xdr:rowOff>
    </xdr:from>
    <xdr:to>
      <xdr:col>20</xdr:col>
      <xdr:colOff>36791</xdr:colOff>
      <xdr:row>15</xdr:row>
      <xdr:rowOff>40285</xdr:rowOff>
    </xdr:to>
    <xdr:grpSp>
      <xdr:nvGrpSpPr>
        <xdr:cNvPr id="53" name="Group 52">
          <a:extLst>
            <a:ext uri="{FF2B5EF4-FFF2-40B4-BE49-F238E27FC236}">
              <a16:creationId xmlns:a16="http://schemas.microsoft.com/office/drawing/2014/main" id="{00000000-0008-0000-1000-000035000000}"/>
            </a:ext>
          </a:extLst>
        </xdr:cNvPr>
        <xdr:cNvGrpSpPr/>
      </xdr:nvGrpSpPr>
      <xdr:grpSpPr>
        <a:xfrm flipH="1">
          <a:off x="8037161" y="2637436"/>
          <a:ext cx="254630" cy="209733"/>
          <a:chOff x="2333862" y="6389847"/>
          <a:chExt cx="224793" cy="219551"/>
        </a:xfrm>
      </xdr:grpSpPr>
      <xdr:sp macro="" textlink="">
        <xdr:nvSpPr>
          <xdr:cNvPr id="58" name="Isosceles Triangle 57">
            <a:extLst>
              <a:ext uri="{FF2B5EF4-FFF2-40B4-BE49-F238E27FC236}">
                <a16:creationId xmlns:a16="http://schemas.microsoft.com/office/drawing/2014/main" id="{00000000-0008-0000-1000-00003A000000}"/>
              </a:ext>
            </a:extLst>
          </xdr:cNvPr>
          <xdr:cNvSpPr/>
        </xdr:nvSpPr>
        <xdr:spPr>
          <a:xfrm rot="16200000">
            <a:off x="2418042" y="6302096"/>
            <a:ext cx="45719" cy="221221"/>
          </a:xfrm>
          <a:prstGeom prst="triangl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9" name="Isosceles Triangle 58">
            <a:extLst>
              <a:ext uri="{FF2B5EF4-FFF2-40B4-BE49-F238E27FC236}">
                <a16:creationId xmlns:a16="http://schemas.microsoft.com/office/drawing/2014/main" id="{00000000-0008-0000-1000-00003B000000}"/>
              </a:ext>
            </a:extLst>
          </xdr:cNvPr>
          <xdr:cNvSpPr/>
        </xdr:nvSpPr>
        <xdr:spPr>
          <a:xfrm rot="16200000">
            <a:off x="2421614" y="6359247"/>
            <a:ext cx="45719" cy="221221"/>
          </a:xfrm>
          <a:prstGeom prst="triangl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0" name="Isosceles Triangle 59">
            <a:extLst>
              <a:ext uri="{FF2B5EF4-FFF2-40B4-BE49-F238E27FC236}">
                <a16:creationId xmlns:a16="http://schemas.microsoft.com/office/drawing/2014/main" id="{00000000-0008-0000-1000-00003C000000}"/>
              </a:ext>
            </a:extLst>
          </xdr:cNvPr>
          <xdr:cNvSpPr/>
        </xdr:nvSpPr>
        <xdr:spPr>
          <a:xfrm rot="16200000">
            <a:off x="2421613" y="6418777"/>
            <a:ext cx="45719" cy="221221"/>
          </a:xfrm>
          <a:prstGeom prst="triangl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1" name="Isosceles Triangle 60">
            <a:extLst>
              <a:ext uri="{FF2B5EF4-FFF2-40B4-BE49-F238E27FC236}">
                <a16:creationId xmlns:a16="http://schemas.microsoft.com/office/drawing/2014/main" id="{00000000-0008-0000-1000-00003D000000}"/>
              </a:ext>
            </a:extLst>
          </xdr:cNvPr>
          <xdr:cNvSpPr/>
        </xdr:nvSpPr>
        <xdr:spPr>
          <a:xfrm rot="16200000">
            <a:off x="2419232" y="6475928"/>
            <a:ext cx="45719" cy="221221"/>
          </a:xfrm>
          <a:prstGeom prst="triangl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15</xdr:col>
      <xdr:colOff>567535</xdr:colOff>
      <xdr:row>14</xdr:row>
      <xdr:rowOff>8659</xdr:rowOff>
    </xdr:from>
    <xdr:to>
      <xdr:col>16</xdr:col>
      <xdr:colOff>205858</xdr:colOff>
      <xdr:row>15</xdr:row>
      <xdr:rowOff>29772</xdr:rowOff>
    </xdr:to>
    <xdr:grpSp>
      <xdr:nvGrpSpPr>
        <xdr:cNvPr id="62" name="Group 61">
          <a:extLst>
            <a:ext uri="{FF2B5EF4-FFF2-40B4-BE49-F238E27FC236}">
              <a16:creationId xmlns:a16="http://schemas.microsoft.com/office/drawing/2014/main" id="{00000000-0008-0000-1000-00003E000000}"/>
            </a:ext>
          </a:extLst>
        </xdr:cNvPr>
        <xdr:cNvGrpSpPr/>
      </xdr:nvGrpSpPr>
      <xdr:grpSpPr>
        <a:xfrm>
          <a:off x="7184419" y="2622282"/>
          <a:ext cx="245714" cy="214374"/>
          <a:chOff x="2333862" y="6389847"/>
          <a:chExt cx="224793" cy="219551"/>
        </a:xfrm>
      </xdr:grpSpPr>
      <xdr:sp macro="" textlink="">
        <xdr:nvSpPr>
          <xdr:cNvPr id="63" name="Isosceles Triangle 62">
            <a:extLst>
              <a:ext uri="{FF2B5EF4-FFF2-40B4-BE49-F238E27FC236}">
                <a16:creationId xmlns:a16="http://schemas.microsoft.com/office/drawing/2014/main" id="{00000000-0008-0000-1000-00003F000000}"/>
              </a:ext>
            </a:extLst>
          </xdr:cNvPr>
          <xdr:cNvSpPr/>
        </xdr:nvSpPr>
        <xdr:spPr>
          <a:xfrm rot="16200000">
            <a:off x="2418042" y="6302096"/>
            <a:ext cx="45719" cy="221221"/>
          </a:xfrm>
          <a:prstGeom prst="triangl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4" name="Isosceles Triangle 63">
            <a:extLst>
              <a:ext uri="{FF2B5EF4-FFF2-40B4-BE49-F238E27FC236}">
                <a16:creationId xmlns:a16="http://schemas.microsoft.com/office/drawing/2014/main" id="{00000000-0008-0000-1000-000040000000}"/>
              </a:ext>
            </a:extLst>
          </xdr:cNvPr>
          <xdr:cNvSpPr/>
        </xdr:nvSpPr>
        <xdr:spPr>
          <a:xfrm rot="16200000">
            <a:off x="2421614" y="6359247"/>
            <a:ext cx="45719" cy="221221"/>
          </a:xfrm>
          <a:prstGeom prst="triangl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5" name="Isosceles Triangle 64">
            <a:extLst>
              <a:ext uri="{FF2B5EF4-FFF2-40B4-BE49-F238E27FC236}">
                <a16:creationId xmlns:a16="http://schemas.microsoft.com/office/drawing/2014/main" id="{00000000-0008-0000-1000-000041000000}"/>
              </a:ext>
            </a:extLst>
          </xdr:cNvPr>
          <xdr:cNvSpPr/>
        </xdr:nvSpPr>
        <xdr:spPr>
          <a:xfrm rot="16200000">
            <a:off x="2421613" y="6418777"/>
            <a:ext cx="45719" cy="221221"/>
          </a:xfrm>
          <a:prstGeom prst="triangl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6" name="Isosceles Triangle 65">
            <a:extLst>
              <a:ext uri="{FF2B5EF4-FFF2-40B4-BE49-F238E27FC236}">
                <a16:creationId xmlns:a16="http://schemas.microsoft.com/office/drawing/2014/main" id="{00000000-0008-0000-1000-000042000000}"/>
              </a:ext>
            </a:extLst>
          </xdr:cNvPr>
          <xdr:cNvSpPr/>
        </xdr:nvSpPr>
        <xdr:spPr>
          <a:xfrm rot="16200000">
            <a:off x="2419232" y="6475928"/>
            <a:ext cx="45719" cy="221221"/>
          </a:xfrm>
          <a:prstGeom prst="triangl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5</xdr:col>
      <xdr:colOff>158750</xdr:colOff>
      <xdr:row>20</xdr:row>
      <xdr:rowOff>87312</xdr:rowOff>
    </xdr:from>
    <xdr:to>
      <xdr:col>5</xdr:col>
      <xdr:colOff>261937</xdr:colOff>
      <xdr:row>21</xdr:row>
      <xdr:rowOff>55562</xdr:rowOff>
    </xdr:to>
    <xdr:sp macro="" textlink="">
      <xdr:nvSpPr>
        <xdr:cNvPr id="2" name="Left Arrow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/>
      </xdr:nvSpPr>
      <xdr:spPr>
        <a:xfrm>
          <a:off x="2484438" y="3984625"/>
          <a:ext cx="103187" cy="15875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176221</xdr:colOff>
      <xdr:row>25</xdr:row>
      <xdr:rowOff>41277</xdr:rowOff>
    </xdr:from>
    <xdr:to>
      <xdr:col>5</xdr:col>
      <xdr:colOff>279408</xdr:colOff>
      <xdr:row>26</xdr:row>
      <xdr:rowOff>9527</xdr:rowOff>
    </xdr:to>
    <xdr:sp macro="" textlink="">
      <xdr:nvSpPr>
        <xdr:cNvPr id="67" name="Left Arrow 66">
          <a:extLst>
            <a:ext uri="{FF2B5EF4-FFF2-40B4-BE49-F238E27FC236}">
              <a16:creationId xmlns:a16="http://schemas.microsoft.com/office/drawing/2014/main" id="{00000000-0008-0000-1000-000043000000}"/>
            </a:ext>
          </a:extLst>
        </xdr:cNvPr>
        <xdr:cNvSpPr/>
      </xdr:nvSpPr>
      <xdr:spPr>
        <a:xfrm>
          <a:off x="2501909" y="4891090"/>
          <a:ext cx="103187" cy="15875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158750</xdr:colOff>
      <xdr:row>17</xdr:row>
      <xdr:rowOff>15875</xdr:rowOff>
    </xdr:from>
    <xdr:to>
      <xdr:col>5</xdr:col>
      <xdr:colOff>261937</xdr:colOff>
      <xdr:row>17</xdr:row>
      <xdr:rowOff>174625</xdr:rowOff>
    </xdr:to>
    <xdr:sp macro="" textlink="">
      <xdr:nvSpPr>
        <xdr:cNvPr id="68" name="Left Arrow 67">
          <a:extLst>
            <a:ext uri="{FF2B5EF4-FFF2-40B4-BE49-F238E27FC236}">
              <a16:creationId xmlns:a16="http://schemas.microsoft.com/office/drawing/2014/main" id="{00000000-0008-0000-1000-000044000000}"/>
            </a:ext>
          </a:extLst>
        </xdr:cNvPr>
        <xdr:cNvSpPr/>
      </xdr:nvSpPr>
      <xdr:spPr>
        <a:xfrm>
          <a:off x="2484438" y="3341688"/>
          <a:ext cx="103187" cy="15875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BF36"/>
  <sheetViews>
    <sheetView showGridLines="0" topLeftCell="I13" workbookViewId="0">
      <selection activeCell="X1" sqref="X1:AG1048576"/>
    </sheetView>
  </sheetViews>
  <sheetFormatPr defaultRowHeight="14.5" x14ac:dyDescent="0.35"/>
  <cols>
    <col min="3" max="12" width="3.81640625" customWidth="1"/>
    <col min="15" max="15" width="3.81640625" customWidth="1"/>
    <col min="16" max="16" width="1.1796875" customWidth="1"/>
    <col min="17" max="18" width="7.26953125" customWidth="1"/>
    <col min="19" max="19" width="1.1796875" customWidth="1"/>
    <col min="20" max="21" width="3.81640625" customWidth="1"/>
    <col min="24" max="24" width="3.81640625" customWidth="1"/>
    <col min="25" max="26" width="1.1796875" customWidth="1"/>
    <col min="27" max="28" width="7.26953125" customWidth="1"/>
    <col min="29" max="30" width="1.1796875" customWidth="1"/>
    <col min="31" max="31" width="3.81640625" customWidth="1"/>
    <col min="32" max="32" width="4.1796875" customWidth="1"/>
    <col min="35" max="35" width="3.81640625" customWidth="1"/>
    <col min="36" max="36" width="1.1796875" customWidth="1"/>
    <col min="37" max="37" width="1.81640625" customWidth="1"/>
    <col min="38" max="38" width="2" customWidth="1"/>
    <col min="39" max="39" width="9.453125" customWidth="1"/>
    <col min="40" max="41" width="2" customWidth="1"/>
    <col min="42" max="42" width="1.1796875" customWidth="1"/>
    <col min="43" max="43" width="3.81640625" customWidth="1"/>
    <col min="44" max="44" width="4.1796875" customWidth="1"/>
    <col min="47" max="47" width="3.81640625" customWidth="1"/>
    <col min="48" max="48" width="1.1796875" customWidth="1"/>
    <col min="49" max="49" width="1.81640625" customWidth="1"/>
    <col min="50" max="51" width="2" customWidth="1"/>
    <col min="52" max="52" width="9.453125" customWidth="1"/>
    <col min="53" max="55" width="2" customWidth="1"/>
    <col min="56" max="56" width="1.1796875" customWidth="1"/>
    <col min="57" max="57" width="3.81640625" customWidth="1"/>
    <col min="58" max="58" width="4.1796875" customWidth="1"/>
  </cols>
  <sheetData>
    <row r="1" spans="3:58" x14ac:dyDescent="0.35">
      <c r="F1" s="8"/>
      <c r="R1" s="8"/>
    </row>
    <row r="2" spans="3:58" ht="15" thickBot="1" x14ac:dyDescent="0.4">
      <c r="F2" s="8"/>
      <c r="R2" s="8"/>
    </row>
    <row r="3" spans="3:58" ht="15" thickTop="1" x14ac:dyDescent="0.35">
      <c r="F3" s="8"/>
      <c r="R3" s="8"/>
      <c r="AA3" s="2"/>
      <c r="AB3" s="1"/>
      <c r="AL3" s="15"/>
      <c r="AM3" s="15"/>
      <c r="AN3" s="15"/>
      <c r="AX3" s="15"/>
      <c r="AY3" s="15"/>
      <c r="AZ3" s="41"/>
      <c r="BA3" s="15"/>
      <c r="BB3" s="15"/>
    </row>
    <row r="4" spans="3:58" x14ac:dyDescent="0.35">
      <c r="F4" s="8"/>
      <c r="R4" s="8"/>
      <c r="AA4" s="2"/>
      <c r="AB4" s="1"/>
      <c r="AL4" s="15"/>
      <c r="AM4" s="15"/>
      <c r="AN4" s="15"/>
      <c r="AX4" s="15"/>
      <c r="AY4" s="15"/>
      <c r="AZ4" s="42"/>
      <c r="BA4" s="15"/>
      <c r="BB4" s="15"/>
    </row>
    <row r="5" spans="3:58" x14ac:dyDescent="0.35">
      <c r="F5" s="8"/>
      <c r="R5" s="8"/>
      <c r="AA5" s="2"/>
      <c r="AB5" s="1"/>
      <c r="AL5" s="15"/>
      <c r="AM5" s="15"/>
      <c r="AN5" s="15"/>
      <c r="AX5" s="15"/>
      <c r="AY5" s="15"/>
      <c r="AZ5" s="42"/>
      <c r="BA5" s="15"/>
      <c r="BB5" s="15"/>
    </row>
    <row r="6" spans="3:58" x14ac:dyDescent="0.35">
      <c r="F6" s="8"/>
      <c r="R6" s="8"/>
      <c r="AA6" s="2"/>
      <c r="AB6" s="1"/>
      <c r="AL6" s="15"/>
      <c r="AM6" s="15"/>
      <c r="AN6" s="15"/>
      <c r="AX6" s="15"/>
      <c r="AY6" s="15"/>
      <c r="AZ6" s="42"/>
      <c r="BA6" s="15"/>
      <c r="BB6" s="15"/>
    </row>
    <row r="7" spans="3:58" x14ac:dyDescent="0.35">
      <c r="F7" s="8"/>
      <c r="R7" s="8"/>
      <c r="AA7" s="2"/>
      <c r="AB7" s="1"/>
      <c r="AL7" s="15"/>
      <c r="AM7" s="15"/>
      <c r="AN7" s="15"/>
      <c r="AX7" s="15"/>
      <c r="AY7" s="15"/>
      <c r="AZ7" s="42"/>
      <c r="BA7" s="15"/>
      <c r="BB7" s="15"/>
    </row>
    <row r="8" spans="3:58" x14ac:dyDescent="0.35">
      <c r="F8" s="8"/>
      <c r="R8" s="8"/>
      <c r="AA8" s="2"/>
      <c r="AB8" s="1"/>
      <c r="AL8" s="15"/>
      <c r="AM8" s="15"/>
      <c r="AN8" s="15"/>
      <c r="AX8" s="15"/>
      <c r="AY8" s="15"/>
      <c r="AZ8" s="42"/>
      <c r="BA8" s="15"/>
      <c r="BB8" s="15"/>
    </row>
    <row r="9" spans="3:58" x14ac:dyDescent="0.35">
      <c r="F9" s="8"/>
      <c r="R9" s="8"/>
      <c r="AA9" s="2"/>
      <c r="AB9" s="1"/>
      <c r="AL9" s="15"/>
      <c r="AM9" s="15"/>
      <c r="AN9" s="15"/>
      <c r="AX9" s="15"/>
      <c r="AY9" s="15"/>
      <c r="AZ9" s="42"/>
      <c r="BA9" s="15"/>
      <c r="BB9" s="15"/>
    </row>
    <row r="10" spans="3:58" x14ac:dyDescent="0.35">
      <c r="F10" s="8"/>
      <c r="R10" s="8"/>
      <c r="AA10" s="2"/>
      <c r="AB10" s="1"/>
      <c r="AK10" s="28"/>
      <c r="AL10" s="29"/>
      <c r="AM10" s="29"/>
      <c r="AN10" s="29"/>
      <c r="AO10" s="30"/>
      <c r="AW10" s="28"/>
      <c r="AX10" s="29"/>
      <c r="AY10" s="29"/>
      <c r="AZ10" s="42"/>
      <c r="BA10" s="29"/>
      <c r="BB10" s="29"/>
      <c r="BC10" s="30"/>
    </row>
    <row r="11" spans="3:58" x14ac:dyDescent="0.35">
      <c r="F11" s="8"/>
      <c r="R11" s="8"/>
      <c r="AA11" s="2"/>
      <c r="AB11" s="1"/>
      <c r="AK11" s="31"/>
      <c r="AL11" s="32"/>
      <c r="AM11" s="32"/>
      <c r="AN11" s="32"/>
      <c r="AO11" s="33"/>
      <c r="AW11" s="31"/>
      <c r="AX11" s="32"/>
      <c r="AY11" s="32"/>
      <c r="AZ11" s="42"/>
      <c r="BA11" s="32"/>
      <c r="BB11" s="32"/>
      <c r="BC11" s="33"/>
    </row>
    <row r="12" spans="3:58" x14ac:dyDescent="0.35">
      <c r="F12" s="8"/>
      <c r="R12" s="8"/>
      <c r="AA12" s="2"/>
      <c r="AB12" s="1"/>
      <c r="AL12" s="2"/>
      <c r="AM12" s="15"/>
      <c r="AN12" s="1"/>
      <c r="AX12" s="2"/>
      <c r="AY12" s="15"/>
      <c r="AZ12" s="42"/>
      <c r="BA12" s="15"/>
      <c r="BB12" s="1"/>
    </row>
    <row r="13" spans="3:58" x14ac:dyDescent="0.35">
      <c r="C13" s="1"/>
      <c r="F13" s="8"/>
      <c r="H13" s="2"/>
      <c r="O13" s="1"/>
      <c r="R13" s="8"/>
      <c r="T13" s="2"/>
      <c r="X13" s="1"/>
      <c r="Y13" s="7"/>
      <c r="Z13" s="7"/>
      <c r="AA13" s="2"/>
      <c r="AB13" s="1"/>
      <c r="AC13" s="7"/>
      <c r="AD13" s="7"/>
      <c r="AE13" s="2"/>
      <c r="AI13" s="1"/>
      <c r="AJ13" s="7"/>
      <c r="AK13" s="7"/>
      <c r="AL13" s="2"/>
      <c r="AM13" s="15"/>
      <c r="AN13" s="1"/>
      <c r="AO13" s="7"/>
      <c r="AP13" s="7"/>
      <c r="AQ13" s="2"/>
      <c r="AU13" s="1"/>
      <c r="AV13" s="7"/>
      <c r="AW13" s="7"/>
      <c r="AX13" s="2"/>
      <c r="AY13" s="15"/>
      <c r="AZ13" s="42"/>
      <c r="BA13" s="15"/>
      <c r="BB13" s="1"/>
      <c r="BC13" s="7"/>
      <c r="BD13" s="7"/>
      <c r="BE13" s="2"/>
    </row>
    <row r="14" spans="3:58" x14ac:dyDescent="0.35">
      <c r="C14" s="3"/>
      <c r="F14" s="8"/>
      <c r="H14" s="5"/>
      <c r="O14" s="3"/>
      <c r="R14" s="8"/>
      <c r="T14" s="5"/>
      <c r="X14" s="3"/>
      <c r="Y14" s="7"/>
      <c r="Z14" s="7"/>
      <c r="AA14" s="2"/>
      <c r="AB14" s="1"/>
      <c r="AC14" s="7"/>
      <c r="AD14" s="7"/>
      <c r="AE14" s="5"/>
      <c r="AI14" s="3"/>
      <c r="AJ14" s="7"/>
      <c r="AK14" s="7"/>
      <c r="AL14" s="2"/>
      <c r="AM14" s="15"/>
      <c r="AN14" s="1"/>
      <c r="AO14" s="7"/>
      <c r="AP14" s="7"/>
      <c r="AQ14" s="5"/>
      <c r="AU14" s="3"/>
      <c r="AV14" s="7"/>
      <c r="AW14" s="7"/>
      <c r="AX14" s="2"/>
      <c r="AY14" s="15"/>
      <c r="AZ14" s="42"/>
      <c r="BA14" s="15"/>
      <c r="BB14" s="1"/>
      <c r="BC14" s="7"/>
      <c r="BD14" s="7"/>
      <c r="BE14" s="5"/>
    </row>
    <row r="15" spans="3:58" x14ac:dyDescent="0.35">
      <c r="C15" s="3"/>
      <c r="F15" s="8"/>
      <c r="H15" s="5"/>
      <c r="O15" s="3"/>
      <c r="R15" s="8"/>
      <c r="T15" s="5"/>
      <c r="X15" s="3"/>
      <c r="Y15" s="7"/>
      <c r="Z15" s="7"/>
      <c r="AA15" s="2"/>
      <c r="AB15" s="1"/>
      <c r="AC15" s="7"/>
      <c r="AD15" s="7"/>
      <c r="AE15" s="5"/>
      <c r="AI15" s="3"/>
      <c r="AJ15" s="7"/>
      <c r="AK15" s="7"/>
      <c r="AL15" s="2"/>
      <c r="AM15" s="15"/>
      <c r="AN15" s="1"/>
      <c r="AO15" s="7"/>
      <c r="AP15" s="7"/>
      <c r="AQ15" s="5"/>
      <c r="AU15" s="3"/>
      <c r="AV15" s="7"/>
      <c r="AW15" s="7"/>
      <c r="AX15" s="2"/>
      <c r="AY15" s="15"/>
      <c r="AZ15" s="42"/>
      <c r="BA15" s="15"/>
      <c r="BB15" s="1"/>
      <c r="BC15" s="7"/>
      <c r="BD15" s="7"/>
      <c r="BE15" s="5"/>
    </row>
    <row r="16" spans="3:58" ht="15" thickBot="1" x14ac:dyDescent="0.4">
      <c r="C16" s="4"/>
      <c r="D16" s="7"/>
      <c r="E16" s="7"/>
      <c r="F16" s="9"/>
      <c r="G16" s="7"/>
      <c r="H16" s="6"/>
      <c r="I16" t="s">
        <v>0</v>
      </c>
      <c r="O16" s="4"/>
      <c r="P16" s="7"/>
      <c r="Q16" s="7"/>
      <c r="R16" s="9"/>
      <c r="S16" s="7"/>
      <c r="T16" s="6"/>
      <c r="U16" t="s">
        <v>0</v>
      </c>
      <c r="X16" s="4"/>
      <c r="Y16" s="7"/>
      <c r="Z16" s="7"/>
      <c r="AA16" s="2"/>
      <c r="AB16" s="1"/>
      <c r="AC16" s="7"/>
      <c r="AD16" s="7"/>
      <c r="AE16" s="6"/>
      <c r="AF16" t="s">
        <v>0</v>
      </c>
      <c r="AI16" s="4"/>
      <c r="AJ16" s="7"/>
      <c r="AK16" s="7"/>
      <c r="AL16" s="2"/>
      <c r="AM16" s="15"/>
      <c r="AN16" s="1"/>
      <c r="AO16" s="7"/>
      <c r="AP16" s="7"/>
      <c r="AQ16" s="6"/>
      <c r="AR16" t="s">
        <v>0</v>
      </c>
      <c r="AU16" s="4"/>
      <c r="AV16" s="7"/>
      <c r="AW16" s="7"/>
      <c r="AX16" s="2"/>
      <c r="AY16" s="15"/>
      <c r="AZ16" s="42"/>
      <c r="BA16" s="15"/>
      <c r="BB16" s="1"/>
      <c r="BC16" s="7"/>
      <c r="BD16" s="7"/>
      <c r="BE16" s="6"/>
      <c r="BF16" t="s">
        <v>0</v>
      </c>
    </row>
    <row r="17" spans="6:57" ht="15" thickTop="1" x14ac:dyDescent="0.35">
      <c r="F17" s="8"/>
      <c r="Q17" s="10"/>
      <c r="R17" s="11"/>
      <c r="Z17" s="16"/>
      <c r="AA17" s="2"/>
      <c r="AB17" s="1"/>
      <c r="AC17" s="18"/>
      <c r="AK17" s="16"/>
      <c r="AL17" s="2"/>
      <c r="AM17" s="15"/>
      <c r="AN17" s="1"/>
      <c r="AO17" s="18"/>
      <c r="AW17" s="16"/>
      <c r="AX17" s="2"/>
      <c r="AY17" s="15"/>
      <c r="AZ17" s="42"/>
      <c r="BA17" s="15"/>
      <c r="BB17" s="1"/>
      <c r="BC17" s="18"/>
    </row>
    <row r="18" spans="6:57" x14ac:dyDescent="0.35">
      <c r="F18" s="8"/>
      <c r="Q18" s="10"/>
      <c r="R18" s="11"/>
      <c r="Z18" s="16"/>
      <c r="AA18" s="2"/>
      <c r="AB18" s="1"/>
      <c r="AC18" s="18"/>
      <c r="AK18" s="16"/>
      <c r="AL18" s="2"/>
      <c r="AM18" s="15"/>
      <c r="AN18" s="1"/>
      <c r="AO18" s="18"/>
      <c r="AW18" s="16"/>
      <c r="AX18" s="2"/>
      <c r="AY18" s="15"/>
      <c r="AZ18" s="42"/>
      <c r="BA18" s="15"/>
      <c r="BB18" s="1"/>
      <c r="BC18" s="18"/>
    </row>
    <row r="19" spans="6:57" x14ac:dyDescent="0.35">
      <c r="F19" s="8"/>
      <c r="Q19" s="10"/>
      <c r="R19" s="11"/>
      <c r="Z19" s="16"/>
      <c r="AA19" s="2"/>
      <c r="AB19" s="1"/>
      <c r="AC19" s="18"/>
      <c r="AK19" s="16"/>
      <c r="AL19" s="2"/>
      <c r="AM19" s="15"/>
      <c r="AN19" s="1"/>
      <c r="AO19" s="18"/>
      <c r="AW19" s="16"/>
      <c r="AX19" s="44"/>
      <c r="AY19" s="45"/>
      <c r="AZ19" s="42"/>
      <c r="BA19" s="45"/>
      <c r="BB19" s="48"/>
      <c r="BC19" s="18"/>
    </row>
    <row r="20" spans="6:57" x14ac:dyDescent="0.35">
      <c r="F20" s="8"/>
      <c r="Q20" s="10"/>
      <c r="R20" s="11"/>
      <c r="Z20" s="16"/>
      <c r="AA20" s="2"/>
      <c r="AB20" s="1"/>
      <c r="AC20" s="18"/>
      <c r="AK20" s="16"/>
      <c r="AL20" s="2"/>
      <c r="AM20" s="15"/>
      <c r="AN20" s="1"/>
      <c r="AO20" s="18"/>
      <c r="AW20" s="16"/>
      <c r="AX20" s="44"/>
      <c r="AY20" s="45"/>
      <c r="AZ20" s="42"/>
      <c r="BA20" s="45"/>
      <c r="BB20" s="48"/>
      <c r="BC20" s="18"/>
    </row>
    <row r="21" spans="6:57" x14ac:dyDescent="0.35">
      <c r="Q21" s="10"/>
      <c r="R21" s="12"/>
      <c r="Z21" s="16"/>
      <c r="AA21" s="2"/>
      <c r="AB21" s="1"/>
      <c r="AC21" s="18"/>
      <c r="AK21" s="16"/>
      <c r="AL21" s="2"/>
      <c r="AM21" s="15"/>
      <c r="AN21" s="1"/>
      <c r="AO21" s="18"/>
      <c r="AW21" s="16"/>
      <c r="AX21" s="44"/>
      <c r="AY21" s="45"/>
      <c r="AZ21" s="42"/>
      <c r="BA21" s="45"/>
      <c r="BB21" s="48"/>
      <c r="BC21" s="18"/>
    </row>
    <row r="22" spans="6:57" x14ac:dyDescent="0.35">
      <c r="Q22" s="10"/>
      <c r="R22" s="12"/>
      <c r="Z22" s="16"/>
      <c r="AA22" s="2"/>
      <c r="AB22" s="1"/>
      <c r="AC22" s="18"/>
      <c r="AK22" s="16"/>
      <c r="AL22" s="2"/>
      <c r="AM22" s="15"/>
      <c r="AN22" s="1"/>
      <c r="AO22" s="18"/>
      <c r="AW22" s="16"/>
      <c r="AX22" s="44"/>
      <c r="AY22" s="45"/>
      <c r="AZ22" s="42"/>
      <c r="BA22" s="45"/>
      <c r="BB22" s="48"/>
      <c r="BC22" s="18"/>
    </row>
    <row r="23" spans="6:57" x14ac:dyDescent="0.35">
      <c r="Q23" s="10"/>
      <c r="R23" s="12"/>
      <c r="Z23" s="16"/>
      <c r="AA23" s="2"/>
      <c r="AB23" s="1"/>
      <c r="AC23" s="18"/>
      <c r="AK23" s="16"/>
      <c r="AL23" s="2"/>
      <c r="AM23" s="15"/>
      <c r="AN23" s="1"/>
      <c r="AO23" s="18"/>
      <c r="AW23" s="16"/>
      <c r="AX23" s="44"/>
      <c r="AY23" s="45"/>
      <c r="AZ23" s="42"/>
      <c r="BA23" s="45"/>
      <c r="BB23" s="48"/>
      <c r="BC23" s="18"/>
    </row>
    <row r="24" spans="6:57" x14ac:dyDescent="0.35">
      <c r="Q24" s="10"/>
      <c r="R24" s="12"/>
      <c r="Z24" s="16"/>
      <c r="AA24" s="2"/>
      <c r="AB24" s="1"/>
      <c r="AC24" s="18"/>
      <c r="AK24" s="16"/>
      <c r="AL24" s="23"/>
      <c r="AM24" s="34"/>
      <c r="AN24" s="24"/>
      <c r="AO24" s="18"/>
      <c r="AW24" s="16"/>
      <c r="AX24" s="44"/>
      <c r="AY24" s="45"/>
      <c r="AZ24" s="43"/>
      <c r="BA24" s="45"/>
      <c r="BB24" s="48"/>
      <c r="BC24" s="18"/>
    </row>
    <row r="25" spans="6:57" x14ac:dyDescent="0.35">
      <c r="Q25" s="10"/>
      <c r="R25" s="12"/>
      <c r="Z25" s="16"/>
      <c r="AA25" s="2"/>
      <c r="AB25" s="1"/>
      <c r="AC25" s="18"/>
      <c r="AK25" s="16"/>
      <c r="AL25" s="287"/>
      <c r="AM25" s="288"/>
      <c r="AN25" s="289"/>
      <c r="AO25" s="18"/>
      <c r="AQ25" t="s">
        <v>2</v>
      </c>
      <c r="AW25" s="16"/>
      <c r="AX25" s="46"/>
      <c r="AY25" s="47"/>
      <c r="AZ25" s="43"/>
      <c r="BA25" s="47"/>
      <c r="BB25" s="49"/>
      <c r="BC25" s="18"/>
      <c r="BE25" t="s">
        <v>2</v>
      </c>
    </row>
    <row r="26" spans="6:57" x14ac:dyDescent="0.35">
      <c r="Q26" s="10"/>
      <c r="R26" s="12"/>
      <c r="Z26" s="16"/>
      <c r="AA26" s="21"/>
      <c r="AB26" s="22"/>
      <c r="AC26" s="18"/>
      <c r="AK26" s="17"/>
      <c r="AL26" s="35"/>
      <c r="AM26" s="40"/>
      <c r="AN26" s="39"/>
      <c r="AO26" s="19"/>
      <c r="AW26" s="17"/>
      <c r="AX26" s="35"/>
      <c r="AY26" s="45"/>
      <c r="AZ26" s="43"/>
      <c r="BA26" s="50"/>
      <c r="BB26" s="39"/>
      <c r="BC26" s="19"/>
    </row>
    <row r="27" spans="6:57" ht="15" thickBot="1" x14ac:dyDescent="0.4">
      <c r="Q27" s="10"/>
      <c r="R27" s="12"/>
      <c r="Z27" s="16"/>
      <c r="AA27" s="285" t="s">
        <v>1</v>
      </c>
      <c r="AB27" s="286"/>
      <c r="AC27" s="18"/>
      <c r="AL27" s="36"/>
      <c r="AM27" s="37"/>
      <c r="AX27" s="36"/>
      <c r="AY27" s="45"/>
      <c r="AZ27" s="42"/>
      <c r="BA27" s="50"/>
    </row>
    <row r="28" spans="6:57" ht="15" thickTop="1" x14ac:dyDescent="0.35">
      <c r="Q28" s="13"/>
      <c r="R28" s="14"/>
      <c r="Z28" s="17"/>
      <c r="AA28" s="20"/>
      <c r="AB28" s="20"/>
      <c r="AC28" s="19"/>
      <c r="AL28" s="36"/>
      <c r="AM28" s="37"/>
      <c r="AX28" s="36"/>
      <c r="AY28" s="45"/>
      <c r="AZ28" s="42"/>
      <c r="BA28" s="50"/>
    </row>
    <row r="29" spans="6:57" x14ac:dyDescent="0.35">
      <c r="AL29" s="36"/>
      <c r="AM29" s="37"/>
      <c r="AX29" s="36"/>
      <c r="AY29" s="45"/>
      <c r="AZ29" s="42"/>
      <c r="BA29" s="50"/>
    </row>
    <row r="30" spans="6:57" x14ac:dyDescent="0.35">
      <c r="AL30" s="36"/>
      <c r="AM30" s="37"/>
      <c r="AX30" s="36"/>
      <c r="AY30" s="45"/>
      <c r="AZ30" s="42"/>
      <c r="BA30" s="50"/>
    </row>
    <row r="31" spans="6:57" x14ac:dyDescent="0.35">
      <c r="AL31" s="36"/>
      <c r="AM31" s="37"/>
      <c r="AX31" s="36"/>
      <c r="AY31" s="27"/>
      <c r="AZ31" s="42"/>
      <c r="BA31" s="54"/>
    </row>
    <row r="32" spans="6:57" x14ac:dyDescent="0.35">
      <c r="AL32" s="36"/>
      <c r="AM32" s="37"/>
      <c r="AX32" s="36"/>
      <c r="AY32" s="27"/>
      <c r="AZ32" s="42"/>
      <c r="BA32" s="54"/>
    </row>
    <row r="33" spans="38:55" x14ac:dyDescent="0.35">
      <c r="AL33" s="36"/>
      <c r="AM33" s="37"/>
      <c r="AX33" s="36"/>
      <c r="AY33" s="27"/>
      <c r="AZ33" s="55" t="s">
        <v>1</v>
      </c>
      <c r="BA33" s="54"/>
    </row>
    <row r="34" spans="38:55" x14ac:dyDescent="0.35">
      <c r="AL34" s="36"/>
      <c r="AM34" s="37"/>
      <c r="AX34" s="36"/>
      <c r="AY34" s="27"/>
      <c r="AZ34" s="56"/>
      <c r="BA34" s="54"/>
    </row>
    <row r="35" spans="38:55" ht="15" thickBot="1" x14ac:dyDescent="0.4">
      <c r="AL35" s="36"/>
      <c r="AM35" s="37"/>
      <c r="AX35" s="36"/>
      <c r="AY35" s="27"/>
      <c r="AZ35" s="57" t="s">
        <v>1</v>
      </c>
      <c r="BA35" s="54"/>
      <c r="BC35" t="s">
        <v>3</v>
      </c>
    </row>
    <row r="36" spans="38:55" ht="15" thickTop="1" x14ac:dyDescent="0.35">
      <c r="AL36" s="36"/>
      <c r="AM36" s="38"/>
      <c r="AX36" s="36"/>
      <c r="AY36" s="51"/>
      <c r="AZ36" s="52"/>
      <c r="BA36" s="53"/>
    </row>
  </sheetData>
  <mergeCells count="2">
    <mergeCell ref="AA27:AB27"/>
    <mergeCell ref="AL25:AN25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28"/>
  <sheetViews>
    <sheetView showGridLines="0" workbookViewId="0">
      <selection activeCell="A3" sqref="A3:L29"/>
    </sheetView>
  </sheetViews>
  <sheetFormatPr defaultRowHeight="14.5" x14ac:dyDescent="0.35"/>
  <cols>
    <col min="2" max="2" width="3.81640625" customWidth="1"/>
    <col min="3" max="4" width="1.1796875" customWidth="1"/>
    <col min="5" max="6" width="7.26953125" customWidth="1"/>
    <col min="7" max="8" width="1.1796875" customWidth="1"/>
    <col min="9" max="9" width="3.81640625" customWidth="1"/>
    <col min="10" max="10" width="4.1796875" customWidth="1"/>
  </cols>
  <sheetData>
    <row r="2" spans="1:11" ht="18.5" x14ac:dyDescent="0.45">
      <c r="G2" s="160"/>
      <c r="H2" s="160"/>
      <c r="I2" s="160"/>
    </row>
    <row r="3" spans="1:11" ht="27.75" customHeight="1" thickBot="1" x14ac:dyDescent="0.5">
      <c r="E3" s="2"/>
      <c r="F3" s="1"/>
      <c r="G3" s="160"/>
      <c r="H3" s="147" t="s">
        <v>73</v>
      </c>
      <c r="I3" s="143"/>
    </row>
    <row r="4" spans="1:11" ht="19.5" thickTop="1" thickBot="1" x14ac:dyDescent="0.5">
      <c r="A4" s="161"/>
      <c r="B4" s="162"/>
      <c r="C4" s="163"/>
      <c r="D4" s="166"/>
      <c r="E4" s="2"/>
      <c r="F4" s="1"/>
      <c r="G4" s="167"/>
      <c r="H4" s="164" t="s">
        <v>72</v>
      </c>
      <c r="I4" s="165"/>
      <c r="J4" s="162"/>
      <c r="K4" s="163"/>
    </row>
    <row r="5" spans="1:11" ht="18.5" x14ac:dyDescent="0.45">
      <c r="E5" s="2"/>
      <c r="F5" s="1"/>
      <c r="G5" s="160"/>
      <c r="H5" s="160"/>
      <c r="I5" s="160"/>
    </row>
    <row r="6" spans="1:11" x14ac:dyDescent="0.35">
      <c r="E6" s="2"/>
      <c r="F6" s="1"/>
    </row>
    <row r="7" spans="1:11" x14ac:dyDescent="0.35">
      <c r="E7" s="2"/>
      <c r="F7" s="1"/>
    </row>
    <row r="8" spans="1:11" x14ac:dyDescent="0.35">
      <c r="E8" s="2"/>
      <c r="F8" s="1"/>
    </row>
    <row r="9" spans="1:11" x14ac:dyDescent="0.35">
      <c r="E9" s="2"/>
      <c r="F9" s="1"/>
    </row>
    <row r="10" spans="1:11" x14ac:dyDescent="0.35">
      <c r="E10" s="2"/>
      <c r="F10" s="1"/>
    </row>
    <row r="11" spans="1:11" x14ac:dyDescent="0.35">
      <c r="E11" s="2"/>
      <c r="F11" s="1"/>
    </row>
    <row r="12" spans="1:11" x14ac:dyDescent="0.35">
      <c r="E12" s="2"/>
      <c r="F12" s="1"/>
    </row>
    <row r="13" spans="1:11" x14ac:dyDescent="0.35">
      <c r="B13" s="1"/>
      <c r="C13" s="7"/>
      <c r="D13" s="7"/>
      <c r="E13" s="2"/>
      <c r="F13" s="1"/>
      <c r="G13" s="7"/>
      <c r="H13" s="7"/>
      <c r="I13" s="2"/>
    </row>
    <row r="14" spans="1:11" x14ac:dyDescent="0.35">
      <c r="B14" s="3"/>
      <c r="C14" s="7"/>
      <c r="D14" s="7"/>
      <c r="E14" s="2"/>
      <c r="F14" s="1"/>
      <c r="G14" s="7"/>
      <c r="H14" s="7"/>
      <c r="I14" s="5"/>
    </row>
    <row r="15" spans="1:11" x14ac:dyDescent="0.35">
      <c r="B15" s="3"/>
      <c r="C15" s="7"/>
      <c r="D15" s="7"/>
      <c r="E15" s="2"/>
      <c r="F15" s="1"/>
      <c r="G15" s="7"/>
      <c r="H15" s="7"/>
      <c r="I15" s="5"/>
    </row>
    <row r="16" spans="1:11" ht="15" thickBot="1" x14ac:dyDescent="0.4">
      <c r="B16" s="4"/>
      <c r="C16" s="7"/>
      <c r="D16" s="7"/>
      <c r="E16" s="2"/>
      <c r="F16" s="1"/>
      <c r="G16" s="7"/>
      <c r="H16" s="7"/>
      <c r="I16" s="6"/>
      <c r="J16" t="s">
        <v>0</v>
      </c>
    </row>
    <row r="17" spans="4:9" ht="15" thickTop="1" x14ac:dyDescent="0.35">
      <c r="D17" s="16"/>
      <c r="E17" s="2"/>
      <c r="F17" s="1"/>
      <c r="G17" s="18"/>
    </row>
    <row r="18" spans="4:9" x14ac:dyDescent="0.35">
      <c r="D18" s="16"/>
      <c r="E18" s="2"/>
      <c r="F18" s="1"/>
      <c r="G18" s="18"/>
    </row>
    <row r="19" spans="4:9" x14ac:dyDescent="0.35">
      <c r="D19" s="16"/>
      <c r="E19" s="2"/>
      <c r="F19" s="1"/>
      <c r="G19" s="18"/>
    </row>
    <row r="20" spans="4:9" x14ac:dyDescent="0.35">
      <c r="D20" s="16"/>
      <c r="E20" s="2"/>
      <c r="F20" s="1"/>
      <c r="G20" s="18"/>
    </row>
    <row r="21" spans="4:9" x14ac:dyDescent="0.35">
      <c r="D21" s="16"/>
      <c r="E21" s="2"/>
      <c r="F21" s="1"/>
      <c r="G21" s="18"/>
    </row>
    <row r="22" spans="4:9" x14ac:dyDescent="0.35">
      <c r="D22" s="16"/>
      <c r="E22" s="2"/>
      <c r="F22" s="1"/>
      <c r="G22" s="18"/>
    </row>
    <row r="23" spans="4:9" x14ac:dyDescent="0.35">
      <c r="D23" s="16"/>
      <c r="E23" s="2"/>
      <c r="F23" s="1"/>
      <c r="G23" s="18"/>
    </row>
    <row r="24" spans="4:9" x14ac:dyDescent="0.35">
      <c r="D24" s="16"/>
      <c r="E24" s="2"/>
      <c r="F24" s="1"/>
      <c r="G24" s="18"/>
    </row>
    <row r="25" spans="4:9" x14ac:dyDescent="0.35">
      <c r="D25" s="16"/>
      <c r="E25" s="2"/>
      <c r="F25" s="1"/>
      <c r="G25" s="18"/>
    </row>
    <row r="26" spans="4:9" x14ac:dyDescent="0.35">
      <c r="D26" s="16"/>
      <c r="E26" s="21"/>
      <c r="F26" s="22"/>
      <c r="G26" s="18"/>
    </row>
    <row r="27" spans="4:9" ht="15" thickBot="1" x14ac:dyDescent="0.4">
      <c r="D27" s="16"/>
      <c r="E27" s="285" t="s">
        <v>1</v>
      </c>
      <c r="F27" s="286"/>
      <c r="G27" s="18"/>
      <c r="I27" t="s">
        <v>2</v>
      </c>
    </row>
    <row r="28" spans="4:9" ht="30.75" customHeight="1" thickTop="1" x14ac:dyDescent="0.35">
      <c r="D28" s="17"/>
      <c r="E28" s="20"/>
      <c r="F28" s="20"/>
      <c r="G28" s="19"/>
      <c r="I28" s="147" t="s">
        <v>74</v>
      </c>
    </row>
  </sheetData>
  <mergeCells count="1">
    <mergeCell ref="E27:F2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AI36"/>
  <sheetViews>
    <sheetView showGridLines="0" topLeftCell="A22" workbookViewId="0">
      <selection activeCell="A18" sqref="A1:J1048576"/>
    </sheetView>
  </sheetViews>
  <sheetFormatPr defaultRowHeight="14.5" x14ac:dyDescent="0.35"/>
  <cols>
    <col min="1" max="1" width="3.81640625" customWidth="1"/>
    <col min="2" max="2" width="1.1796875" customWidth="1"/>
    <col min="3" max="3" width="1.81640625" customWidth="1"/>
    <col min="4" max="4" width="2" customWidth="1"/>
    <col min="5" max="5" width="9.453125" customWidth="1"/>
    <col min="6" max="7" width="2" customWidth="1"/>
    <col min="8" max="8" width="1.1796875" customWidth="1"/>
    <col min="9" max="9" width="3.81640625" customWidth="1"/>
    <col min="10" max="10" width="12.1796875" customWidth="1"/>
    <col min="14" max="14" width="3.81640625" customWidth="1"/>
    <col min="15" max="15" width="1.1796875" customWidth="1"/>
    <col min="16" max="16" width="1.81640625" customWidth="1"/>
    <col min="17" max="17" width="2" customWidth="1"/>
    <col min="18" max="18" width="9.453125" customWidth="1"/>
    <col min="19" max="20" width="2" customWidth="1"/>
    <col min="21" max="21" width="1.1796875" customWidth="1"/>
    <col min="22" max="22" width="3.81640625" customWidth="1"/>
    <col min="23" max="23" width="12.1796875" customWidth="1"/>
    <col min="26" max="26" width="3.81640625" customWidth="1"/>
    <col min="27" max="27" width="1.1796875" customWidth="1"/>
    <col min="28" max="28" width="1.81640625" customWidth="1"/>
    <col min="29" max="29" width="2" customWidth="1"/>
    <col min="30" max="30" width="9.453125" customWidth="1"/>
    <col min="31" max="32" width="2" customWidth="1"/>
    <col min="33" max="33" width="1.1796875" customWidth="1"/>
    <col min="34" max="34" width="3.81640625" customWidth="1"/>
    <col min="35" max="35" width="12.1796875" customWidth="1"/>
  </cols>
  <sheetData>
    <row r="3" spans="1:34" x14ac:dyDescent="0.35">
      <c r="D3" s="15"/>
      <c r="E3" s="15"/>
      <c r="F3" s="15"/>
      <c r="Q3" s="15"/>
      <c r="R3" s="15"/>
      <c r="S3" s="15"/>
      <c r="AC3" s="15"/>
      <c r="AD3" s="15"/>
      <c r="AE3" s="15"/>
    </row>
    <row r="4" spans="1:34" x14ac:dyDescent="0.35">
      <c r="D4" s="15"/>
      <c r="E4" s="15"/>
      <c r="F4" s="15"/>
      <c r="Q4" s="15"/>
      <c r="R4" s="15"/>
      <c r="S4" s="15"/>
      <c r="AC4" s="15"/>
      <c r="AD4" s="15"/>
      <c r="AE4" s="15"/>
    </row>
    <row r="5" spans="1:34" x14ac:dyDescent="0.35">
      <c r="D5" s="15"/>
      <c r="E5" s="15"/>
      <c r="F5" s="15"/>
      <c r="Q5" s="15"/>
      <c r="R5" s="15"/>
      <c r="S5" s="15"/>
      <c r="AC5" s="15"/>
      <c r="AD5" s="15"/>
      <c r="AE5" s="15"/>
    </row>
    <row r="6" spans="1:34" x14ac:dyDescent="0.35">
      <c r="D6" s="15"/>
      <c r="E6" s="15"/>
      <c r="F6" s="15"/>
      <c r="Q6" s="15"/>
      <c r="R6" s="15"/>
      <c r="S6" s="15"/>
      <c r="AC6" s="15"/>
      <c r="AD6" s="15"/>
      <c r="AE6" s="15"/>
    </row>
    <row r="7" spans="1:34" x14ac:dyDescent="0.35">
      <c r="D7" s="15"/>
      <c r="E7" s="15"/>
      <c r="F7" s="15"/>
      <c r="Q7" s="15"/>
      <c r="R7" s="15"/>
      <c r="S7" s="15"/>
      <c r="AC7" s="15"/>
      <c r="AD7" s="15"/>
      <c r="AE7" s="15"/>
    </row>
    <row r="8" spans="1:34" x14ac:dyDescent="0.35">
      <c r="D8" s="15"/>
      <c r="E8" s="15"/>
      <c r="F8" s="15"/>
      <c r="Q8" s="15"/>
      <c r="R8" s="15"/>
      <c r="S8" s="15"/>
      <c r="AC8" s="15"/>
      <c r="AD8" s="15"/>
      <c r="AE8" s="15"/>
    </row>
    <row r="9" spans="1:34" x14ac:dyDescent="0.35">
      <c r="D9" s="15"/>
      <c r="E9" s="15"/>
      <c r="F9" s="15"/>
      <c r="Q9" s="15"/>
      <c r="R9" s="15"/>
      <c r="S9" s="15"/>
      <c r="AC9" s="15"/>
      <c r="AD9" s="15"/>
      <c r="AE9" s="15"/>
    </row>
    <row r="10" spans="1:34" x14ac:dyDescent="0.35">
      <c r="C10" s="28"/>
      <c r="D10" s="29"/>
      <c r="E10" s="29"/>
      <c r="F10" s="29"/>
      <c r="G10" s="30"/>
      <c r="P10" s="28"/>
      <c r="Q10" s="29"/>
      <c r="R10" s="29"/>
      <c r="S10" s="29"/>
      <c r="T10" s="30"/>
      <c r="AB10" s="28"/>
      <c r="AC10" s="29"/>
      <c r="AD10" s="29"/>
      <c r="AE10" s="29"/>
      <c r="AF10" s="30"/>
    </row>
    <row r="11" spans="1:34" x14ac:dyDescent="0.35">
      <c r="C11" s="31"/>
      <c r="D11" s="32"/>
      <c r="E11" s="32"/>
      <c r="F11" s="32"/>
      <c r="G11" s="33"/>
      <c r="P11" s="31"/>
      <c r="Q11" s="32"/>
      <c r="R11" s="32"/>
      <c r="S11" s="32"/>
      <c r="T11" s="33"/>
      <c r="AB11" s="31"/>
      <c r="AC11" s="32"/>
      <c r="AD11" s="32"/>
      <c r="AE11" s="32"/>
      <c r="AF11" s="33"/>
    </row>
    <row r="12" spans="1:34" x14ac:dyDescent="0.35">
      <c r="D12" s="2"/>
      <c r="E12" s="15"/>
      <c r="F12" s="1"/>
      <c r="Q12" s="2"/>
      <c r="R12" s="15"/>
      <c r="S12" s="1"/>
      <c r="AC12" s="2"/>
      <c r="AD12" s="15"/>
      <c r="AE12" s="1"/>
    </row>
    <row r="13" spans="1:34" x14ac:dyDescent="0.35">
      <c r="A13" s="1"/>
      <c r="B13" s="7"/>
      <c r="C13" s="7"/>
      <c r="D13" s="2"/>
      <c r="E13" s="15"/>
      <c r="F13" s="1"/>
      <c r="G13" s="7"/>
      <c r="H13" s="7"/>
      <c r="I13" s="2"/>
      <c r="N13" s="1"/>
      <c r="O13" s="7"/>
      <c r="P13" s="7"/>
      <c r="Q13" s="2"/>
      <c r="R13" s="15"/>
      <c r="S13" s="1"/>
      <c r="T13" s="7"/>
      <c r="U13" s="7"/>
      <c r="V13" s="2"/>
      <c r="Z13" s="1"/>
      <c r="AA13" s="7"/>
      <c r="AB13" s="7"/>
      <c r="AC13" s="2"/>
      <c r="AD13" s="15"/>
      <c r="AE13" s="1"/>
      <c r="AF13" s="7"/>
      <c r="AG13" s="7"/>
      <c r="AH13" s="2"/>
    </row>
    <row r="14" spans="1:34" x14ac:dyDescent="0.35">
      <c r="A14" s="3"/>
      <c r="B14" s="7"/>
      <c r="C14" s="7"/>
      <c r="D14" s="2"/>
      <c r="E14" s="15"/>
      <c r="F14" s="1"/>
      <c r="G14" s="7"/>
      <c r="H14" s="7"/>
      <c r="I14" s="5"/>
      <c r="N14" s="3"/>
      <c r="O14" s="7"/>
      <c r="P14" s="7"/>
      <c r="Q14" s="2"/>
      <c r="R14" s="15"/>
      <c r="S14" s="1"/>
      <c r="T14" s="7"/>
      <c r="U14" s="7"/>
      <c r="V14" s="5"/>
      <c r="Z14" s="3"/>
      <c r="AA14" s="7"/>
      <c r="AB14" s="7"/>
      <c r="AC14" s="2"/>
      <c r="AD14" s="15"/>
      <c r="AE14" s="1"/>
      <c r="AF14" s="7"/>
      <c r="AG14" s="7"/>
      <c r="AH14" s="5"/>
    </row>
    <row r="15" spans="1:34" x14ac:dyDescent="0.35">
      <c r="A15" s="3"/>
      <c r="B15" s="7"/>
      <c r="C15" s="7"/>
      <c r="D15" s="2"/>
      <c r="E15" s="15"/>
      <c r="F15" s="1"/>
      <c r="G15" s="7"/>
      <c r="H15" s="7"/>
      <c r="I15" s="5"/>
      <c r="N15" s="3"/>
      <c r="O15" s="7"/>
      <c r="P15" s="7"/>
      <c r="Q15" s="2"/>
      <c r="R15" s="15"/>
      <c r="S15" s="1"/>
      <c r="T15" s="7"/>
      <c r="U15" s="7"/>
      <c r="V15" s="5"/>
      <c r="Z15" s="3"/>
      <c r="AA15" s="7"/>
      <c r="AB15" s="7"/>
      <c r="AC15" s="2"/>
      <c r="AD15" s="15"/>
      <c r="AE15" s="1"/>
      <c r="AF15" s="7"/>
      <c r="AG15" s="7"/>
      <c r="AH15" s="5"/>
    </row>
    <row r="16" spans="1:34" ht="15" thickBot="1" x14ac:dyDescent="0.4">
      <c r="A16" s="4"/>
      <c r="B16" s="7"/>
      <c r="C16" s="7"/>
      <c r="D16" s="2"/>
      <c r="E16" s="15"/>
      <c r="F16" s="1"/>
      <c r="G16" s="7"/>
      <c r="H16" s="7"/>
      <c r="I16" s="6"/>
      <c r="N16" s="4"/>
      <c r="O16" s="7"/>
      <c r="P16" s="7"/>
      <c r="Q16" s="2"/>
      <c r="R16" s="15"/>
      <c r="S16" s="1"/>
      <c r="T16" s="7"/>
      <c r="U16" s="7"/>
      <c r="V16" s="6"/>
      <c r="Z16" s="4"/>
      <c r="AA16" s="7"/>
      <c r="AB16" s="7"/>
      <c r="AC16" s="2"/>
      <c r="AD16" s="15"/>
      <c r="AE16" s="1"/>
      <c r="AF16" s="7"/>
      <c r="AG16" s="7"/>
      <c r="AH16" s="6"/>
    </row>
    <row r="17" spans="1:35" ht="15" thickTop="1" x14ac:dyDescent="0.35">
      <c r="C17" s="16"/>
      <c r="D17" s="2"/>
      <c r="E17" s="15"/>
      <c r="F17" s="1"/>
      <c r="G17" s="18"/>
      <c r="P17" s="16"/>
      <c r="Q17" s="2"/>
      <c r="R17" s="15"/>
      <c r="S17" s="1"/>
      <c r="T17" s="18"/>
      <c r="AB17" s="16"/>
      <c r="AC17" s="2"/>
      <c r="AD17" s="15"/>
      <c r="AE17" s="1"/>
      <c r="AF17" s="18"/>
    </row>
    <row r="18" spans="1:35" x14ac:dyDescent="0.35">
      <c r="C18" s="16"/>
      <c r="D18" s="2"/>
      <c r="E18" s="15"/>
      <c r="F18" s="1"/>
      <c r="G18" s="18"/>
      <c r="P18" s="16"/>
      <c r="Q18" s="2"/>
      <c r="R18" s="15"/>
      <c r="S18" s="1"/>
      <c r="T18" s="18"/>
      <c r="AB18" s="16"/>
      <c r="AC18" s="2"/>
      <c r="AD18" s="15"/>
      <c r="AE18" s="1"/>
      <c r="AF18" s="18"/>
    </row>
    <row r="19" spans="1:35" x14ac:dyDescent="0.35">
      <c r="C19" s="16"/>
      <c r="D19" s="2"/>
      <c r="E19" s="15"/>
      <c r="F19" s="1"/>
      <c r="G19" s="18"/>
      <c r="P19" s="16"/>
      <c r="Q19" s="2"/>
      <c r="R19" s="15"/>
      <c r="S19" s="1"/>
      <c r="T19" s="18"/>
      <c r="AB19" s="16"/>
      <c r="AC19" s="2"/>
      <c r="AD19" s="15"/>
      <c r="AE19" s="1"/>
      <c r="AF19" s="18"/>
    </row>
    <row r="20" spans="1:35" x14ac:dyDescent="0.35">
      <c r="C20" s="16"/>
      <c r="D20" s="2"/>
      <c r="E20" s="15"/>
      <c r="F20" s="1"/>
      <c r="G20" s="18"/>
      <c r="P20" s="16"/>
      <c r="Q20" s="2"/>
      <c r="R20" s="15"/>
      <c r="S20" s="1"/>
      <c r="T20" s="18"/>
      <c r="AB20" s="16"/>
      <c r="AC20" s="2"/>
      <c r="AD20" s="15"/>
      <c r="AE20" s="1"/>
      <c r="AF20" s="18"/>
    </row>
    <row r="21" spans="1:35" x14ac:dyDescent="0.35">
      <c r="C21" s="16"/>
      <c r="D21" s="2"/>
      <c r="E21" s="15"/>
      <c r="F21" s="1"/>
      <c r="G21" s="18"/>
      <c r="P21" s="16"/>
      <c r="Q21" s="2"/>
      <c r="R21" s="15"/>
      <c r="S21" s="1"/>
      <c r="T21" s="18"/>
      <c r="AB21" s="16"/>
      <c r="AC21" s="2"/>
      <c r="AD21" s="15"/>
      <c r="AE21" s="1"/>
      <c r="AF21" s="18"/>
    </row>
    <row r="22" spans="1:35" x14ac:dyDescent="0.35">
      <c r="C22" s="16"/>
      <c r="D22" s="2"/>
      <c r="E22" s="15"/>
      <c r="F22" s="1"/>
      <c r="G22" s="18"/>
      <c r="P22" s="16"/>
      <c r="Q22" s="2"/>
      <c r="R22" s="15"/>
      <c r="S22" s="1"/>
      <c r="T22" s="18"/>
      <c r="AB22" s="16"/>
      <c r="AC22" s="2"/>
      <c r="AD22" s="15"/>
      <c r="AE22" s="1"/>
      <c r="AF22" s="18"/>
    </row>
    <row r="23" spans="1:35" x14ac:dyDescent="0.35">
      <c r="C23" s="16"/>
      <c r="D23" s="2"/>
      <c r="E23" s="15"/>
      <c r="F23" s="1"/>
      <c r="G23" s="18"/>
      <c r="P23" s="16"/>
      <c r="Q23" s="65"/>
      <c r="R23" s="70" t="s">
        <v>11</v>
      </c>
      <c r="S23" s="66"/>
      <c r="T23" s="18"/>
      <c r="U23" t="s">
        <v>12</v>
      </c>
      <c r="AB23" s="16"/>
      <c r="AC23" s="65"/>
      <c r="AD23" s="70" t="s">
        <v>11</v>
      </c>
      <c r="AE23" s="66"/>
      <c r="AF23" s="18"/>
      <c r="AG23" t="s">
        <v>12</v>
      </c>
    </row>
    <row r="24" spans="1:35" x14ac:dyDescent="0.35">
      <c r="C24" s="16"/>
      <c r="D24" s="65"/>
      <c r="E24" s="291" t="s">
        <v>6</v>
      </c>
      <c r="F24" s="66"/>
      <c r="G24" s="18"/>
      <c r="N24" s="75"/>
      <c r="O24" s="76" t="s">
        <v>13</v>
      </c>
      <c r="P24" s="16"/>
      <c r="Q24" s="2"/>
      <c r="R24" s="15"/>
      <c r="S24" s="1"/>
      <c r="T24" s="18"/>
      <c r="U24" s="73" t="s">
        <v>10</v>
      </c>
      <c r="AA24" s="76" t="s">
        <v>14</v>
      </c>
      <c r="AB24" s="16"/>
      <c r="AC24" s="2"/>
      <c r="AD24" s="15"/>
      <c r="AE24" s="1"/>
      <c r="AF24" s="18"/>
      <c r="AG24" s="73" t="s">
        <v>15</v>
      </c>
    </row>
    <row r="25" spans="1:35" x14ac:dyDescent="0.35">
      <c r="C25" s="16"/>
      <c r="D25" s="67"/>
      <c r="E25" s="291"/>
      <c r="F25" s="68"/>
      <c r="G25" s="18"/>
      <c r="I25" t="s">
        <v>7</v>
      </c>
      <c r="P25" s="16"/>
      <c r="Q25" s="65"/>
      <c r="R25" s="72" t="s">
        <v>6</v>
      </c>
      <c r="S25" s="66"/>
      <c r="T25" s="18"/>
      <c r="V25" t="s">
        <v>7</v>
      </c>
      <c r="AB25" s="16"/>
      <c r="AC25" s="23"/>
      <c r="AD25" s="77"/>
      <c r="AE25" s="24"/>
      <c r="AF25" s="18"/>
      <c r="AH25" t="s">
        <v>7</v>
      </c>
    </row>
    <row r="26" spans="1:35" x14ac:dyDescent="0.35">
      <c r="C26" s="64"/>
      <c r="D26" s="62"/>
      <c r="E26" s="61" t="s">
        <v>4</v>
      </c>
      <c r="F26" s="63"/>
      <c r="G26" s="290" t="s">
        <v>6</v>
      </c>
      <c r="H26" s="290"/>
      <c r="I26" s="290"/>
      <c r="P26" s="64"/>
      <c r="Q26" s="62"/>
      <c r="R26" s="61" t="s">
        <v>4</v>
      </c>
      <c r="S26" s="63"/>
      <c r="T26" s="71"/>
      <c r="U26" s="71"/>
      <c r="V26" s="71"/>
      <c r="AB26" s="64"/>
      <c r="AC26" s="62"/>
      <c r="AD26" s="69"/>
      <c r="AE26" s="63"/>
      <c r="AF26" s="71"/>
      <c r="AG26" s="71"/>
      <c r="AH26" s="71"/>
    </row>
    <row r="27" spans="1:35" x14ac:dyDescent="0.35">
      <c r="D27" s="36"/>
      <c r="E27" s="61" t="s">
        <v>5</v>
      </c>
      <c r="G27" s="290"/>
      <c r="H27" s="290"/>
      <c r="I27" s="290"/>
      <c r="Q27" s="36"/>
      <c r="R27" s="69"/>
      <c r="T27" s="71"/>
      <c r="U27" s="71"/>
      <c r="V27" s="71"/>
      <c r="AC27" s="36"/>
      <c r="AD27" s="69"/>
      <c r="AF27" s="71"/>
      <c r="AG27" s="71"/>
      <c r="AH27" s="71"/>
    </row>
    <row r="28" spans="1:35" x14ac:dyDescent="0.35">
      <c r="D28" s="36"/>
      <c r="E28" s="37"/>
      <c r="Q28" s="36"/>
      <c r="R28" s="37"/>
      <c r="AC28" s="36"/>
      <c r="AD28" s="37"/>
    </row>
    <row r="29" spans="1:35" x14ac:dyDescent="0.35">
      <c r="D29" s="36"/>
      <c r="E29" s="37"/>
      <c r="Q29" s="36"/>
      <c r="R29" s="37"/>
      <c r="AC29" s="36"/>
      <c r="AD29" s="37"/>
    </row>
    <row r="30" spans="1:35" x14ac:dyDescent="0.35">
      <c r="D30" s="36"/>
      <c r="E30" s="60"/>
      <c r="G30" s="292" t="s">
        <v>6</v>
      </c>
      <c r="H30" s="292"/>
      <c r="I30" s="292"/>
      <c r="Q30" s="36"/>
      <c r="R30" s="60"/>
      <c r="T30" s="292" t="s">
        <v>6</v>
      </c>
      <c r="U30" s="292"/>
      <c r="V30" s="292"/>
      <c r="AC30" s="36"/>
      <c r="AD30" s="60"/>
      <c r="AF30" s="292" t="s">
        <v>6</v>
      </c>
      <c r="AG30" s="292"/>
      <c r="AH30" s="292"/>
    </row>
    <row r="31" spans="1:35" x14ac:dyDescent="0.35">
      <c r="D31" s="36"/>
      <c r="E31" s="60"/>
      <c r="G31" s="292"/>
      <c r="H31" s="292"/>
      <c r="I31" s="292"/>
      <c r="Q31" s="36"/>
      <c r="R31" s="60"/>
      <c r="T31" s="292"/>
      <c r="U31" s="292"/>
      <c r="V31" s="292"/>
      <c r="AC31" s="36"/>
      <c r="AD31" s="60"/>
      <c r="AF31" s="292"/>
      <c r="AG31" s="292"/>
      <c r="AH31" s="292"/>
    </row>
    <row r="32" spans="1:35" x14ac:dyDescent="0.35">
      <c r="A32" s="58"/>
      <c r="B32" s="58"/>
      <c r="C32" s="58"/>
      <c r="D32" s="59"/>
      <c r="E32" s="61" t="s">
        <v>4</v>
      </c>
      <c r="F32" s="58"/>
      <c r="G32" s="58"/>
      <c r="H32" s="58"/>
      <c r="I32" s="58"/>
      <c r="J32" t="s">
        <v>8</v>
      </c>
      <c r="N32" s="58"/>
      <c r="O32" s="58"/>
      <c r="P32" s="58"/>
      <c r="Q32" s="59"/>
      <c r="R32" s="61" t="s">
        <v>4</v>
      </c>
      <c r="S32" s="58"/>
      <c r="T32" s="58"/>
      <c r="U32" s="58"/>
      <c r="V32" s="58"/>
      <c r="W32" t="s">
        <v>8</v>
      </c>
      <c r="Z32" s="58"/>
      <c r="AA32" s="58"/>
      <c r="AB32" s="58"/>
      <c r="AC32" s="59"/>
      <c r="AD32" s="61" t="s">
        <v>4</v>
      </c>
      <c r="AE32" s="58"/>
      <c r="AF32" s="58"/>
      <c r="AG32" s="58"/>
      <c r="AH32" s="58"/>
      <c r="AI32" t="s">
        <v>8</v>
      </c>
    </row>
    <row r="33" spans="1:35" x14ac:dyDescent="0.35">
      <c r="A33" s="58"/>
      <c r="B33" s="58"/>
      <c r="C33" s="58"/>
      <c r="D33" s="59"/>
      <c r="E33" s="61" t="s">
        <v>5</v>
      </c>
      <c r="F33" s="58"/>
      <c r="G33" s="58"/>
      <c r="H33" s="58"/>
      <c r="I33" s="58"/>
      <c r="J33" t="s">
        <v>9</v>
      </c>
      <c r="N33" s="58"/>
      <c r="O33" s="58"/>
      <c r="P33" s="58"/>
      <c r="Q33" s="59"/>
      <c r="R33" s="61" t="s">
        <v>5</v>
      </c>
      <c r="S33" s="58"/>
      <c r="T33" s="58"/>
      <c r="U33" s="58"/>
      <c r="V33" s="58"/>
      <c r="W33" t="s">
        <v>9</v>
      </c>
      <c r="Z33" s="58"/>
      <c r="AA33" s="58"/>
      <c r="AB33" s="58"/>
      <c r="AC33" s="59"/>
      <c r="AD33" s="61" t="s">
        <v>5</v>
      </c>
      <c r="AE33" s="58"/>
      <c r="AF33" s="58"/>
      <c r="AG33" s="58"/>
      <c r="AH33" s="58"/>
      <c r="AI33" t="s">
        <v>9</v>
      </c>
    </row>
    <row r="34" spans="1:35" x14ac:dyDescent="0.35">
      <c r="D34" s="36"/>
      <c r="E34" s="60"/>
      <c r="G34" s="292" t="s">
        <v>6</v>
      </c>
      <c r="H34" s="292"/>
      <c r="I34" s="292"/>
      <c r="Q34" s="36"/>
      <c r="R34" s="60"/>
      <c r="T34" s="292" t="s">
        <v>6</v>
      </c>
      <c r="U34" s="292"/>
      <c r="V34" s="292"/>
      <c r="AC34" s="36"/>
      <c r="AD34" s="60"/>
      <c r="AF34" s="292" t="s">
        <v>6</v>
      </c>
      <c r="AG34" s="292"/>
      <c r="AH34" s="292"/>
    </row>
    <row r="35" spans="1:35" x14ac:dyDescent="0.35">
      <c r="D35" s="36"/>
      <c r="E35" s="60"/>
      <c r="G35" s="292"/>
      <c r="H35" s="292"/>
      <c r="I35" s="292"/>
      <c r="Q35" s="36"/>
      <c r="R35" s="60"/>
      <c r="T35" s="292"/>
      <c r="U35" s="292"/>
      <c r="V35" s="292"/>
      <c r="AC35" s="36"/>
      <c r="AD35" s="60"/>
      <c r="AF35" s="292"/>
      <c r="AG35" s="292"/>
      <c r="AH35" s="292"/>
    </row>
    <row r="36" spans="1:35" x14ac:dyDescent="0.35">
      <c r="D36" s="36"/>
      <c r="E36" s="38"/>
      <c r="Q36" s="36"/>
      <c r="R36" s="38"/>
      <c r="AC36" s="36"/>
      <c r="AD36" s="38"/>
    </row>
  </sheetData>
  <mergeCells count="8">
    <mergeCell ref="G26:I27"/>
    <mergeCell ref="E24:E25"/>
    <mergeCell ref="T30:V31"/>
    <mergeCell ref="T34:V35"/>
    <mergeCell ref="AF30:AH31"/>
    <mergeCell ref="AF34:AH35"/>
    <mergeCell ref="G34:I35"/>
    <mergeCell ref="G30:I3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AN39"/>
  <sheetViews>
    <sheetView showGridLines="0" topLeftCell="A22" zoomScale="89" zoomScaleNormal="89" workbookViewId="0">
      <selection activeCell="A4" sqref="A1:I1048576"/>
    </sheetView>
  </sheetViews>
  <sheetFormatPr defaultRowHeight="14.5" x14ac:dyDescent="0.35"/>
  <cols>
    <col min="1" max="1" width="3.81640625" customWidth="1"/>
    <col min="2" max="2" width="1.1796875" customWidth="1"/>
    <col min="3" max="3" width="1.81640625" customWidth="1"/>
    <col min="4" max="4" width="2" customWidth="1"/>
    <col min="5" max="5" width="9.453125" customWidth="1"/>
    <col min="6" max="7" width="2" customWidth="1"/>
    <col min="8" max="8" width="1.1796875" customWidth="1"/>
    <col min="9" max="9" width="3.81640625" customWidth="1"/>
    <col min="10" max="10" width="12.1796875" customWidth="1"/>
    <col min="11" max="11" width="3.81640625" customWidth="1"/>
    <col min="12" max="12" width="1.1796875" customWidth="1"/>
    <col min="13" max="13" width="1.81640625" customWidth="1"/>
    <col min="14" max="14" width="2" customWidth="1"/>
    <col min="15" max="15" width="9.453125" customWidth="1"/>
    <col min="16" max="17" width="2" customWidth="1"/>
    <col min="18" max="18" width="1.1796875" customWidth="1"/>
    <col min="19" max="19" width="3.81640625" customWidth="1"/>
    <col min="20" max="20" width="12.1796875" customWidth="1"/>
    <col min="21" max="21" width="3.81640625" customWidth="1"/>
    <col min="22" max="22" width="1.1796875" customWidth="1"/>
    <col min="23" max="23" width="1.81640625" customWidth="1"/>
    <col min="24" max="24" width="2" customWidth="1"/>
    <col min="25" max="25" width="9.453125" customWidth="1"/>
    <col min="26" max="27" width="2" customWidth="1"/>
    <col min="28" max="28" width="1.1796875" customWidth="1"/>
    <col min="29" max="29" width="3.81640625" customWidth="1"/>
    <col min="30" max="30" width="12.1796875" customWidth="1"/>
    <col min="31" max="31" width="3.81640625" customWidth="1"/>
    <col min="32" max="32" width="1.1796875" customWidth="1"/>
    <col min="33" max="33" width="1.81640625" customWidth="1"/>
    <col min="34" max="34" width="2" customWidth="1"/>
    <col min="35" max="35" width="9.453125" customWidth="1"/>
    <col min="36" max="37" width="2" customWidth="1"/>
    <col min="38" max="38" width="1.1796875" customWidth="1"/>
    <col min="39" max="39" width="3.81640625" customWidth="1"/>
    <col min="40" max="40" width="12.1796875" customWidth="1"/>
  </cols>
  <sheetData>
    <row r="3" spans="1:39" x14ac:dyDescent="0.35">
      <c r="D3" s="15"/>
      <c r="E3" s="15"/>
      <c r="F3" s="15"/>
      <c r="N3" s="15"/>
      <c r="O3" s="15"/>
      <c r="P3" s="15"/>
      <c r="X3" s="15"/>
      <c r="Y3" s="15"/>
      <c r="Z3" s="15"/>
      <c r="AH3" s="15"/>
      <c r="AI3" s="15"/>
      <c r="AJ3" s="15"/>
    </row>
    <row r="4" spans="1:39" x14ac:dyDescent="0.35">
      <c r="D4" s="15"/>
      <c r="E4" s="15"/>
      <c r="F4" s="15"/>
      <c r="N4" s="15"/>
      <c r="O4" s="15"/>
      <c r="P4" s="15"/>
      <c r="X4" s="15"/>
      <c r="Y4" s="15"/>
      <c r="Z4" s="15"/>
      <c r="AH4" s="15"/>
      <c r="AI4" s="15"/>
      <c r="AJ4" s="15"/>
    </row>
    <row r="5" spans="1:39" x14ac:dyDescent="0.35">
      <c r="D5" s="15"/>
      <c r="E5" s="15"/>
      <c r="F5" s="15"/>
      <c r="N5" s="15"/>
      <c r="O5" s="15"/>
      <c r="P5" s="15"/>
      <c r="X5" s="15"/>
      <c r="Y5" s="15"/>
      <c r="Z5" s="15"/>
      <c r="AH5" s="15"/>
      <c r="AI5" s="15"/>
      <c r="AJ5" s="15"/>
    </row>
    <row r="6" spans="1:39" x14ac:dyDescent="0.35">
      <c r="D6" s="15"/>
      <c r="E6" s="15"/>
      <c r="F6" s="15"/>
      <c r="N6" s="15"/>
      <c r="O6" s="15"/>
      <c r="P6" s="15"/>
      <c r="X6" s="15"/>
      <c r="Y6" s="15"/>
      <c r="Z6" s="15"/>
      <c r="AH6" s="15"/>
      <c r="AI6" s="15"/>
      <c r="AJ6" s="15"/>
    </row>
    <row r="7" spans="1:39" x14ac:dyDescent="0.35">
      <c r="D7" s="15"/>
      <c r="E7" s="15"/>
      <c r="F7" s="15"/>
      <c r="N7" s="15"/>
      <c r="O7" s="15"/>
      <c r="P7" s="15"/>
      <c r="X7" s="15"/>
      <c r="Y7" s="15"/>
      <c r="Z7" s="15"/>
      <c r="AH7" s="15"/>
      <c r="AI7" s="15"/>
      <c r="AJ7" s="15"/>
    </row>
    <row r="8" spans="1:39" x14ac:dyDescent="0.35">
      <c r="D8" s="15"/>
      <c r="E8" s="15"/>
      <c r="F8" s="15"/>
      <c r="N8" s="15"/>
      <c r="O8" s="15"/>
      <c r="P8" s="15"/>
      <c r="X8" s="15"/>
      <c r="Y8" s="15"/>
      <c r="Z8" s="15"/>
      <c r="AH8" s="15"/>
      <c r="AI8" s="15"/>
      <c r="AJ8" s="15"/>
    </row>
    <row r="9" spans="1:39" x14ac:dyDescent="0.35">
      <c r="D9" s="15"/>
      <c r="E9" s="15"/>
      <c r="F9" s="15"/>
      <c r="N9" s="15"/>
      <c r="O9" s="15"/>
      <c r="P9" s="15"/>
      <c r="X9" s="15"/>
      <c r="Y9" s="15"/>
      <c r="Z9" s="15"/>
      <c r="AH9" s="15"/>
      <c r="AI9" s="15"/>
      <c r="AJ9" s="15"/>
    </row>
    <row r="10" spans="1:39" x14ac:dyDescent="0.35">
      <c r="C10" s="28"/>
      <c r="D10" s="29"/>
      <c r="E10" s="293">
        <v>1</v>
      </c>
      <c r="F10" s="29"/>
      <c r="G10" s="30"/>
      <c r="M10" s="28"/>
      <c r="N10" s="29"/>
      <c r="O10" s="293">
        <v>2</v>
      </c>
      <c r="P10" s="29"/>
      <c r="Q10" s="30"/>
      <c r="W10" s="28"/>
      <c r="X10" s="29"/>
      <c r="Y10" s="293">
        <v>3</v>
      </c>
      <c r="Z10" s="29"/>
      <c r="AA10" s="30"/>
      <c r="AG10" s="28"/>
      <c r="AH10" s="29"/>
      <c r="AI10" s="293">
        <v>4</v>
      </c>
      <c r="AJ10" s="29"/>
      <c r="AK10" s="30"/>
    </row>
    <row r="11" spans="1:39" x14ac:dyDescent="0.35">
      <c r="C11" s="31"/>
      <c r="D11" s="32"/>
      <c r="E11" s="294"/>
      <c r="F11" s="32"/>
      <c r="G11" s="33"/>
      <c r="M11" s="31"/>
      <c r="N11" s="32"/>
      <c r="O11" s="294"/>
      <c r="P11" s="32"/>
      <c r="Q11" s="33"/>
      <c r="W11" s="31"/>
      <c r="X11" s="32"/>
      <c r="Y11" s="294"/>
      <c r="Z11" s="32"/>
      <c r="AA11" s="33"/>
      <c r="AG11" s="31"/>
      <c r="AH11" s="32"/>
      <c r="AI11" s="294"/>
      <c r="AJ11" s="32"/>
      <c r="AK11" s="33"/>
    </row>
    <row r="12" spans="1:39" x14ac:dyDescent="0.35">
      <c r="D12" s="2"/>
      <c r="E12" s="78"/>
      <c r="F12" s="1"/>
      <c r="N12" s="2"/>
      <c r="O12" s="78"/>
      <c r="P12" s="1"/>
      <c r="X12" s="2"/>
      <c r="Y12" s="78"/>
      <c r="Z12" s="1"/>
      <c r="AH12" s="2"/>
      <c r="AI12" s="78"/>
      <c r="AJ12" s="1"/>
    </row>
    <row r="13" spans="1:39" x14ac:dyDescent="0.35">
      <c r="A13" s="1"/>
      <c r="B13" s="7"/>
      <c r="C13" s="7"/>
      <c r="D13" s="2"/>
      <c r="E13" s="42"/>
      <c r="F13" s="1"/>
      <c r="G13" s="7"/>
      <c r="H13" s="7"/>
      <c r="I13" s="2"/>
      <c r="K13" s="1"/>
      <c r="L13" s="7"/>
      <c r="M13" s="7"/>
      <c r="N13" s="2"/>
      <c r="O13" s="42"/>
      <c r="P13" s="1"/>
      <c r="Q13" s="7"/>
      <c r="R13" s="7"/>
      <c r="S13" s="2"/>
      <c r="U13" s="1"/>
      <c r="V13" s="7"/>
      <c r="W13" s="7"/>
      <c r="X13" s="2"/>
      <c r="Y13" s="42"/>
      <c r="Z13" s="1"/>
      <c r="AA13" s="7"/>
      <c r="AB13" s="7"/>
      <c r="AC13" s="2"/>
      <c r="AE13" s="1"/>
      <c r="AF13" s="7"/>
      <c r="AG13" s="7"/>
      <c r="AH13" s="2"/>
      <c r="AI13" s="42"/>
      <c r="AJ13" s="1"/>
      <c r="AK13" s="7"/>
      <c r="AL13" s="7"/>
      <c r="AM13" s="2"/>
    </row>
    <row r="14" spans="1:39" x14ac:dyDescent="0.35">
      <c r="A14" s="3"/>
      <c r="B14" s="7"/>
      <c r="C14" s="7"/>
      <c r="D14" s="2"/>
      <c r="E14" s="42"/>
      <c r="F14" s="1"/>
      <c r="G14" s="7"/>
      <c r="H14" s="7"/>
      <c r="I14" s="5"/>
      <c r="K14" s="3"/>
      <c r="L14" s="7"/>
      <c r="M14" s="7"/>
      <c r="N14" s="2"/>
      <c r="O14" s="42"/>
      <c r="P14" s="1"/>
      <c r="Q14" s="7"/>
      <c r="R14" s="7"/>
      <c r="S14" s="5"/>
      <c r="U14" s="3"/>
      <c r="V14" s="7"/>
      <c r="W14" s="7"/>
      <c r="X14" s="2"/>
      <c r="Y14" s="42"/>
      <c r="Z14" s="1"/>
      <c r="AA14" s="7"/>
      <c r="AB14" s="7"/>
      <c r="AC14" s="5"/>
      <c r="AE14" s="3"/>
      <c r="AF14" s="7"/>
      <c r="AG14" s="7"/>
      <c r="AH14" s="2"/>
      <c r="AI14" s="42"/>
      <c r="AJ14" s="1"/>
      <c r="AK14" s="7"/>
      <c r="AL14" s="7"/>
      <c r="AM14" s="5"/>
    </row>
    <row r="15" spans="1:39" x14ac:dyDescent="0.35">
      <c r="A15" s="3"/>
      <c r="B15" s="7"/>
      <c r="C15" s="7"/>
      <c r="D15" s="2"/>
      <c r="E15" s="42"/>
      <c r="F15" s="1"/>
      <c r="G15" s="7"/>
      <c r="H15" s="7"/>
      <c r="I15" s="5"/>
      <c r="K15" s="3"/>
      <c r="L15" s="7"/>
      <c r="M15" s="7"/>
      <c r="N15" s="2"/>
      <c r="O15" s="42"/>
      <c r="P15" s="1"/>
      <c r="Q15" s="7"/>
      <c r="R15" s="7"/>
      <c r="S15" s="5"/>
      <c r="U15" s="3"/>
      <c r="V15" s="7"/>
      <c r="W15" s="7"/>
      <c r="X15" s="2"/>
      <c r="Y15" s="42"/>
      <c r="Z15" s="1"/>
      <c r="AA15" s="7"/>
      <c r="AB15" s="7"/>
      <c r="AC15" s="5"/>
      <c r="AE15" s="3"/>
      <c r="AF15" s="7"/>
      <c r="AG15" s="7"/>
      <c r="AH15" s="2"/>
      <c r="AI15" s="42"/>
      <c r="AJ15" s="1"/>
      <c r="AK15" s="7"/>
      <c r="AL15" s="7"/>
      <c r="AM15" s="5"/>
    </row>
    <row r="16" spans="1:39" ht="15" thickBot="1" x14ac:dyDescent="0.4">
      <c r="A16" s="4"/>
      <c r="B16" s="7"/>
      <c r="C16" s="7"/>
      <c r="D16" s="2"/>
      <c r="E16" s="42"/>
      <c r="F16" s="1"/>
      <c r="G16" s="7"/>
      <c r="H16" s="7"/>
      <c r="I16" s="6"/>
      <c r="K16" s="4"/>
      <c r="L16" s="7"/>
      <c r="M16" s="7"/>
      <c r="N16" s="2"/>
      <c r="O16" s="42"/>
      <c r="P16" s="1"/>
      <c r="Q16" s="7"/>
      <c r="R16" s="7"/>
      <c r="S16" s="6"/>
      <c r="U16" s="4"/>
      <c r="V16" s="7"/>
      <c r="W16" s="7"/>
      <c r="X16" s="2"/>
      <c r="Y16" s="42"/>
      <c r="Z16" s="1"/>
      <c r="AA16" s="7"/>
      <c r="AB16" s="7"/>
      <c r="AC16" s="6"/>
      <c r="AE16" s="4"/>
      <c r="AF16" s="7"/>
      <c r="AG16" s="7"/>
      <c r="AH16" s="2"/>
      <c r="AI16" s="42"/>
      <c r="AJ16" s="1"/>
      <c r="AK16" s="7"/>
      <c r="AL16" s="7"/>
      <c r="AM16" s="6"/>
    </row>
    <row r="17" spans="1:40" ht="15" thickTop="1" x14ac:dyDescent="0.35">
      <c r="C17" s="16"/>
      <c r="D17" s="2"/>
      <c r="E17" s="42"/>
      <c r="F17" s="1"/>
      <c r="G17" s="18"/>
      <c r="M17" s="16"/>
      <c r="N17" s="2"/>
      <c r="O17" s="42"/>
      <c r="P17" s="1"/>
      <c r="Q17" s="18"/>
      <c r="W17" s="16"/>
      <c r="X17" s="2"/>
      <c r="Y17" s="42"/>
      <c r="Z17" s="1"/>
      <c r="AA17" s="18"/>
      <c r="AG17" s="16"/>
      <c r="AH17" s="2"/>
      <c r="AI17" s="42"/>
      <c r="AJ17" s="1"/>
      <c r="AK17" s="18"/>
    </row>
    <row r="18" spans="1:40" x14ac:dyDescent="0.35">
      <c r="C18" s="16"/>
      <c r="D18" s="2"/>
      <c r="E18" s="42"/>
      <c r="F18" s="1"/>
      <c r="G18" s="18"/>
      <c r="M18" s="16"/>
      <c r="N18" s="2"/>
      <c r="O18" s="42"/>
      <c r="P18" s="1"/>
      <c r="Q18" s="18"/>
      <c r="W18" s="16"/>
      <c r="X18" s="2"/>
      <c r="Y18" s="42"/>
      <c r="Z18" s="1"/>
      <c r="AA18" s="18"/>
      <c r="AG18" s="16"/>
      <c r="AH18" s="2"/>
      <c r="AI18" s="42"/>
      <c r="AJ18" s="1"/>
      <c r="AK18" s="18"/>
    </row>
    <row r="19" spans="1:40" x14ac:dyDescent="0.35">
      <c r="C19" s="16"/>
      <c r="D19" s="2"/>
      <c r="E19" s="42"/>
      <c r="F19" s="1"/>
      <c r="G19" s="18"/>
      <c r="M19" s="16"/>
      <c r="N19" s="2"/>
      <c r="O19" s="42"/>
      <c r="P19" s="1"/>
      <c r="Q19" s="18"/>
      <c r="W19" s="16"/>
      <c r="X19" s="2"/>
      <c r="Y19" s="42"/>
      <c r="Z19" s="1"/>
      <c r="AA19" s="18"/>
      <c r="AG19" s="16"/>
      <c r="AH19" s="2"/>
      <c r="AI19" s="42"/>
      <c r="AJ19" s="1"/>
      <c r="AK19" s="18"/>
    </row>
    <row r="20" spans="1:40" x14ac:dyDescent="0.35">
      <c r="C20" s="16"/>
      <c r="D20" s="2"/>
      <c r="E20" s="42"/>
      <c r="F20" s="1"/>
      <c r="G20" s="18"/>
      <c r="M20" s="16"/>
      <c r="N20" s="2"/>
      <c r="O20" s="42"/>
      <c r="P20" s="1"/>
      <c r="Q20" s="18"/>
      <c r="W20" s="16"/>
      <c r="X20" s="2"/>
      <c r="Y20" s="42"/>
      <c r="Z20" s="1"/>
      <c r="AA20" s="18"/>
      <c r="AG20" s="16"/>
      <c r="AH20" s="2"/>
      <c r="AI20" s="42"/>
      <c r="AJ20" s="1"/>
      <c r="AK20" s="18"/>
    </row>
    <row r="21" spans="1:40" x14ac:dyDescent="0.35">
      <c r="C21" s="16"/>
      <c r="D21" s="2"/>
      <c r="E21" s="42"/>
      <c r="F21" s="1"/>
      <c r="G21" s="18"/>
      <c r="M21" s="16"/>
      <c r="N21" s="2"/>
      <c r="O21" s="42"/>
      <c r="P21" s="1"/>
      <c r="Q21" s="18"/>
      <c r="W21" s="16"/>
      <c r="X21" s="2"/>
      <c r="Y21" s="42"/>
      <c r="Z21" s="1"/>
      <c r="AA21" s="18"/>
      <c r="AG21" s="16"/>
      <c r="AH21" s="2"/>
      <c r="AI21" s="42"/>
      <c r="AJ21" s="1"/>
      <c r="AK21" s="18"/>
    </row>
    <row r="22" spans="1:40" x14ac:dyDescent="0.35">
      <c r="C22" s="16"/>
      <c r="D22" s="2"/>
      <c r="E22" s="42"/>
      <c r="F22" s="1"/>
      <c r="G22" s="18"/>
      <c r="M22" s="16"/>
      <c r="N22" s="2"/>
      <c r="O22" s="42"/>
      <c r="P22" s="1"/>
      <c r="Q22" s="18"/>
      <c r="W22" s="16"/>
      <c r="X22" s="2"/>
      <c r="Y22" s="42"/>
      <c r="Z22" s="1"/>
      <c r="AA22" s="18"/>
      <c r="AG22" s="16"/>
      <c r="AH22" s="2"/>
      <c r="AI22" s="42"/>
      <c r="AJ22" s="1"/>
      <c r="AK22" s="18"/>
    </row>
    <row r="23" spans="1:40" x14ac:dyDescent="0.35">
      <c r="C23" s="16"/>
      <c r="D23" s="90"/>
      <c r="E23" s="42"/>
      <c r="F23" s="93"/>
      <c r="G23" s="18"/>
      <c r="M23" s="16"/>
      <c r="N23" s="90"/>
      <c r="O23" s="42"/>
      <c r="P23" s="93"/>
      <c r="Q23" s="18"/>
      <c r="W23" s="16"/>
      <c r="X23" s="90"/>
      <c r="Y23" s="42"/>
      <c r="Z23" s="93"/>
      <c r="AA23" s="18"/>
      <c r="AG23" s="16"/>
      <c r="AH23" s="90"/>
      <c r="AI23" s="42"/>
      <c r="AJ23" s="93"/>
      <c r="AK23" s="18"/>
    </row>
    <row r="24" spans="1:40" x14ac:dyDescent="0.35">
      <c r="C24" s="16"/>
      <c r="D24" s="90"/>
      <c r="E24" s="42"/>
      <c r="F24" s="93"/>
      <c r="G24" s="18"/>
      <c r="M24" s="16"/>
      <c r="N24" s="90"/>
      <c r="O24" s="42"/>
      <c r="P24" s="93"/>
      <c r="Q24" s="18"/>
      <c r="W24" s="16"/>
      <c r="X24" s="90"/>
      <c r="Y24" s="42"/>
      <c r="Z24" s="93"/>
      <c r="AA24" s="18"/>
      <c r="AG24" s="16"/>
      <c r="AH24" s="90"/>
      <c r="AI24" s="42"/>
      <c r="AJ24" s="93"/>
      <c r="AK24" s="18"/>
    </row>
    <row r="25" spans="1:40" x14ac:dyDescent="0.35">
      <c r="C25" s="16"/>
      <c r="D25" s="90"/>
      <c r="E25" s="42"/>
      <c r="F25" s="93"/>
      <c r="G25" s="18"/>
      <c r="M25" s="16"/>
      <c r="N25" s="90"/>
      <c r="O25" s="42"/>
      <c r="P25" s="93"/>
      <c r="Q25" s="18"/>
      <c r="W25" s="16"/>
      <c r="X25" s="90"/>
      <c r="Y25" s="42"/>
      <c r="Z25" s="93"/>
      <c r="AA25" s="18"/>
      <c r="AG25" s="16"/>
      <c r="AH25" s="90"/>
      <c r="AI25" s="42"/>
      <c r="AJ25" s="93"/>
      <c r="AK25" s="18"/>
    </row>
    <row r="26" spans="1:40" x14ac:dyDescent="0.35">
      <c r="C26" s="64"/>
      <c r="D26" s="91"/>
      <c r="E26" s="79"/>
      <c r="F26" s="91"/>
      <c r="G26" s="71"/>
      <c r="H26" s="71"/>
      <c r="I26" s="71"/>
      <c r="M26" s="64"/>
      <c r="N26" s="91"/>
      <c r="O26" s="79"/>
      <c r="P26" s="91"/>
      <c r="Q26" s="71"/>
      <c r="R26" s="71"/>
      <c r="S26" s="71"/>
      <c r="W26" s="64"/>
      <c r="X26" s="91"/>
      <c r="Y26" s="79"/>
      <c r="Z26" s="91"/>
      <c r="AA26" s="71"/>
      <c r="AB26" s="71"/>
      <c r="AC26" s="71"/>
      <c r="AG26" s="64"/>
      <c r="AH26" s="91"/>
      <c r="AI26" s="79"/>
      <c r="AJ26" s="91"/>
      <c r="AK26" s="71"/>
      <c r="AL26" s="71"/>
      <c r="AM26" s="71"/>
    </row>
    <row r="27" spans="1:40" x14ac:dyDescent="0.35">
      <c r="D27" s="26"/>
      <c r="E27" s="79"/>
      <c r="F27" s="25"/>
      <c r="G27" s="71"/>
      <c r="H27" s="71"/>
      <c r="I27" s="71"/>
      <c r="N27" s="26"/>
      <c r="O27" s="79"/>
      <c r="P27" s="25"/>
      <c r="Q27" s="71"/>
      <c r="R27" s="71"/>
      <c r="S27" s="71"/>
      <c r="X27" s="26"/>
      <c r="Y27" s="79"/>
      <c r="Z27" s="25"/>
      <c r="AA27" s="71"/>
      <c r="AB27" s="71"/>
      <c r="AC27" s="71"/>
      <c r="AH27" s="26"/>
      <c r="AI27" s="79"/>
      <c r="AJ27" s="25"/>
      <c r="AK27" s="71"/>
      <c r="AL27" s="71"/>
      <c r="AM27" s="71"/>
    </row>
    <row r="28" spans="1:40" x14ac:dyDescent="0.35">
      <c r="D28" s="26"/>
      <c r="E28" s="42"/>
      <c r="F28" s="25"/>
      <c r="N28" s="26"/>
      <c r="O28" s="42"/>
      <c r="P28" s="25"/>
      <c r="X28" s="26"/>
      <c r="Y28" s="88" t="s">
        <v>4</v>
      </c>
      <c r="Z28" s="25"/>
      <c r="AA28" t="s">
        <v>12</v>
      </c>
      <c r="AH28" s="26"/>
      <c r="AI28" s="89" t="s">
        <v>4</v>
      </c>
      <c r="AJ28" s="25"/>
      <c r="AK28" s="292" t="s">
        <v>6</v>
      </c>
      <c r="AL28" s="292"/>
      <c r="AM28" s="292"/>
    </row>
    <row r="29" spans="1:40" x14ac:dyDescent="0.35">
      <c r="D29" s="26"/>
      <c r="E29" s="42"/>
      <c r="F29" s="25"/>
      <c r="N29" s="26"/>
      <c r="O29" s="80"/>
      <c r="P29" s="25"/>
      <c r="Q29" t="s">
        <v>12</v>
      </c>
      <c r="X29" s="95" t="s">
        <v>18</v>
      </c>
      <c r="Y29" s="43"/>
      <c r="Z29" s="25"/>
      <c r="AA29" s="85" t="s">
        <v>17</v>
      </c>
      <c r="AH29" s="95"/>
      <c r="AI29" s="89" t="s">
        <v>5</v>
      </c>
      <c r="AJ29" s="25"/>
      <c r="AK29" s="292"/>
      <c r="AL29" s="292"/>
      <c r="AM29" s="292"/>
    </row>
    <row r="30" spans="1:40" x14ac:dyDescent="0.35">
      <c r="D30" s="26"/>
      <c r="E30" s="80"/>
      <c r="F30" s="25"/>
      <c r="G30" s="292" t="s">
        <v>6</v>
      </c>
      <c r="H30" s="292"/>
      <c r="I30" s="292"/>
      <c r="N30" s="95" t="s">
        <v>10</v>
      </c>
      <c r="O30" s="42"/>
      <c r="P30" s="25"/>
      <c r="Q30" s="85" t="s">
        <v>16</v>
      </c>
      <c r="R30" s="85"/>
      <c r="S30" s="85"/>
      <c r="X30" s="95"/>
      <c r="Y30" s="42"/>
      <c r="Z30" s="25"/>
      <c r="AA30" s="85"/>
      <c r="AB30" s="85"/>
      <c r="AC30" s="85"/>
      <c r="AH30" s="95"/>
      <c r="AI30" s="42"/>
      <c r="AJ30" s="25"/>
      <c r="AK30" s="292" t="s">
        <v>6</v>
      </c>
      <c r="AL30" s="292"/>
      <c r="AM30" s="292"/>
    </row>
    <row r="31" spans="1:40" x14ac:dyDescent="0.35">
      <c r="D31" s="26"/>
      <c r="E31" s="80"/>
      <c r="F31" s="25"/>
      <c r="G31" s="292"/>
      <c r="H31" s="292"/>
      <c r="I31" s="292"/>
      <c r="N31" s="26"/>
      <c r="O31" s="86" t="s">
        <v>6</v>
      </c>
      <c r="P31" s="25"/>
      <c r="Q31" s="85"/>
      <c r="R31" s="85"/>
      <c r="S31" s="85"/>
      <c r="X31" s="26"/>
      <c r="Y31" s="87"/>
      <c r="Z31" s="25"/>
      <c r="AA31" s="85"/>
      <c r="AB31" s="85"/>
      <c r="AC31" s="85"/>
      <c r="AH31" s="26"/>
      <c r="AI31" s="87"/>
      <c r="AJ31" s="25"/>
      <c r="AK31" s="292"/>
      <c r="AL31" s="292"/>
      <c r="AM31" s="292"/>
    </row>
    <row r="32" spans="1:40" x14ac:dyDescent="0.35">
      <c r="A32" s="58"/>
      <c r="B32" s="58"/>
      <c r="C32" s="58"/>
      <c r="D32" s="92"/>
      <c r="E32" s="81" t="s">
        <v>4</v>
      </c>
      <c r="F32" s="94"/>
      <c r="G32" s="58"/>
      <c r="H32" s="58"/>
      <c r="I32" s="58"/>
      <c r="J32" t="s">
        <v>8</v>
      </c>
      <c r="K32" s="58"/>
      <c r="L32" s="58"/>
      <c r="M32" s="58"/>
      <c r="N32" s="92"/>
      <c r="O32" s="81" t="s">
        <v>4</v>
      </c>
      <c r="P32" s="94"/>
      <c r="Q32" s="58"/>
      <c r="R32" s="58"/>
      <c r="S32" s="58"/>
      <c r="T32" t="s">
        <v>8</v>
      </c>
      <c r="U32" s="58"/>
      <c r="V32" s="58"/>
      <c r="W32" s="58"/>
      <c r="X32" s="92"/>
      <c r="Y32" s="79"/>
      <c r="Z32" s="94"/>
      <c r="AA32" s="58"/>
      <c r="AB32" s="58"/>
      <c r="AC32" s="58"/>
      <c r="AD32" t="s">
        <v>8</v>
      </c>
      <c r="AE32" s="58"/>
      <c r="AF32" s="58"/>
      <c r="AG32" s="58"/>
      <c r="AH32" s="92"/>
      <c r="AI32" s="79"/>
      <c r="AJ32" s="94"/>
      <c r="AK32" s="58"/>
      <c r="AL32" s="58"/>
      <c r="AM32" s="58"/>
      <c r="AN32" t="s">
        <v>8</v>
      </c>
    </row>
    <row r="33" spans="1:40" x14ac:dyDescent="0.35">
      <c r="A33" s="58"/>
      <c r="B33" s="58"/>
      <c r="C33" s="58"/>
      <c r="D33" s="92"/>
      <c r="E33" s="81" t="s">
        <v>5</v>
      </c>
      <c r="F33" s="94"/>
      <c r="G33" s="58"/>
      <c r="H33" s="58"/>
      <c r="I33" s="58"/>
      <c r="J33" t="s">
        <v>9</v>
      </c>
      <c r="K33" s="58"/>
      <c r="L33" s="58"/>
      <c r="M33" s="58"/>
      <c r="N33" s="92"/>
      <c r="O33" s="84"/>
      <c r="P33" s="94"/>
      <c r="Q33" s="58"/>
      <c r="R33" s="58"/>
      <c r="S33" s="58"/>
      <c r="T33" t="s">
        <v>9</v>
      </c>
      <c r="U33" s="58"/>
      <c r="V33" s="58"/>
      <c r="W33" s="58"/>
      <c r="X33" s="92"/>
      <c r="Y33" s="84"/>
      <c r="Z33" s="94"/>
      <c r="AA33" s="58"/>
      <c r="AB33" s="58"/>
      <c r="AC33" s="58"/>
      <c r="AD33" t="s">
        <v>9</v>
      </c>
      <c r="AE33" s="58"/>
      <c r="AF33" s="58"/>
      <c r="AG33" s="58"/>
      <c r="AH33" s="92"/>
      <c r="AI33" s="84"/>
      <c r="AJ33" s="94"/>
      <c r="AK33" s="58"/>
      <c r="AL33" s="58"/>
      <c r="AM33" s="58"/>
      <c r="AN33" t="s">
        <v>9</v>
      </c>
    </row>
    <row r="34" spans="1:40" x14ac:dyDescent="0.35">
      <c r="D34" s="26"/>
      <c r="E34" s="80"/>
      <c r="F34" s="25"/>
      <c r="G34" s="292" t="s">
        <v>6</v>
      </c>
      <c r="H34" s="292"/>
      <c r="I34" s="292"/>
      <c r="N34" s="26"/>
      <c r="O34" s="83"/>
      <c r="P34" s="25"/>
      <c r="Q34" s="85"/>
      <c r="R34" s="85"/>
      <c r="S34" s="85"/>
      <c r="X34" s="26"/>
      <c r="Y34" s="83"/>
      <c r="Z34" s="25"/>
      <c r="AA34" s="85"/>
      <c r="AB34" s="85"/>
      <c r="AC34" s="85"/>
      <c r="AH34" s="26"/>
      <c r="AI34" s="83"/>
      <c r="AJ34" s="25"/>
      <c r="AK34" s="85"/>
      <c r="AL34" s="85"/>
      <c r="AM34" s="85"/>
    </row>
    <row r="35" spans="1:40" x14ac:dyDescent="0.35">
      <c r="D35" s="26"/>
      <c r="E35" s="80"/>
      <c r="F35" s="25"/>
      <c r="G35" s="292"/>
      <c r="H35" s="292"/>
      <c r="I35" s="292"/>
      <c r="N35" s="26"/>
      <c r="O35" s="83"/>
      <c r="P35" s="25"/>
      <c r="Q35" s="85"/>
      <c r="R35" s="85"/>
      <c r="S35" s="85"/>
      <c r="X35" s="26"/>
      <c r="Y35" s="83"/>
      <c r="Z35" s="25"/>
      <c r="AA35" s="85"/>
      <c r="AB35" s="85"/>
      <c r="AC35" s="85"/>
      <c r="AH35" s="26"/>
      <c r="AI35" s="83"/>
      <c r="AJ35" s="25"/>
      <c r="AK35" s="85"/>
      <c r="AL35" s="85"/>
      <c r="AM35" s="85"/>
    </row>
    <row r="36" spans="1:40" x14ac:dyDescent="0.35">
      <c r="D36" s="26"/>
      <c r="E36" s="42"/>
      <c r="F36" s="25"/>
      <c r="N36" s="26"/>
      <c r="O36" s="42"/>
      <c r="P36" s="25"/>
      <c r="X36" s="26"/>
      <c r="Y36" s="42"/>
      <c r="Z36" s="25"/>
      <c r="AH36" s="26"/>
      <c r="AI36" s="42"/>
      <c r="AJ36" s="25"/>
    </row>
    <row r="37" spans="1:40" x14ac:dyDescent="0.35">
      <c r="D37" s="25"/>
      <c r="E37" s="42"/>
      <c r="F37" s="25"/>
      <c r="N37" s="25"/>
      <c r="O37" s="42"/>
      <c r="P37" s="25"/>
      <c r="X37" s="25"/>
      <c r="Y37" s="42"/>
      <c r="Z37" s="25"/>
      <c r="AH37" s="25"/>
      <c r="AI37" s="42"/>
      <c r="AJ37" s="25"/>
    </row>
    <row r="38" spans="1:40" ht="15" thickBot="1" x14ac:dyDescent="0.4">
      <c r="D38" s="25"/>
      <c r="E38" s="82" t="s">
        <v>1</v>
      </c>
      <c r="F38" s="25"/>
      <c r="G38" t="s">
        <v>7</v>
      </c>
      <c r="N38" s="25"/>
      <c r="O38" s="82" t="s">
        <v>1</v>
      </c>
      <c r="P38" s="25"/>
      <c r="Q38" t="s">
        <v>7</v>
      </c>
      <c r="X38" s="25"/>
      <c r="Y38" s="82" t="s">
        <v>1</v>
      </c>
      <c r="Z38" s="25"/>
      <c r="AA38" t="s">
        <v>7</v>
      </c>
      <c r="AH38" s="25"/>
      <c r="AI38" s="82" t="s">
        <v>1</v>
      </c>
      <c r="AJ38" s="25"/>
      <c r="AK38" t="s">
        <v>7</v>
      </c>
    </row>
    <row r="39" spans="1:40" ht="7.5" customHeight="1" thickTop="1" x14ac:dyDescent="0.35">
      <c r="D39" s="25"/>
      <c r="E39" s="25"/>
      <c r="F39" s="25"/>
      <c r="N39" s="25"/>
      <c r="O39" s="25"/>
      <c r="P39" s="25"/>
      <c r="X39" s="25"/>
      <c r="Y39" s="25"/>
      <c r="Z39" s="25"/>
      <c r="AH39" s="25"/>
      <c r="AI39" s="25"/>
      <c r="AJ39" s="25"/>
    </row>
  </sheetData>
  <mergeCells count="8">
    <mergeCell ref="G34:I35"/>
    <mergeCell ref="AK30:AM31"/>
    <mergeCell ref="AK28:AM29"/>
    <mergeCell ref="E10:E11"/>
    <mergeCell ref="O10:O11"/>
    <mergeCell ref="Y10:Y11"/>
    <mergeCell ref="AI10:AI11"/>
    <mergeCell ref="G30:I3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AN39"/>
  <sheetViews>
    <sheetView showGridLines="0" topLeftCell="A20" workbookViewId="0">
      <selection activeCell="K8" sqref="K1:T1048576"/>
    </sheetView>
  </sheetViews>
  <sheetFormatPr defaultRowHeight="14.5" x14ac:dyDescent="0.35"/>
  <cols>
    <col min="1" max="1" width="3.81640625" customWidth="1"/>
    <col min="2" max="2" width="1.1796875" customWidth="1"/>
    <col min="3" max="3" width="1.81640625" customWidth="1"/>
    <col min="4" max="4" width="2" customWidth="1"/>
    <col min="5" max="5" width="9.453125" customWidth="1"/>
    <col min="6" max="7" width="2" customWidth="1"/>
    <col min="8" max="8" width="1.1796875" customWidth="1"/>
    <col min="9" max="9" width="3.81640625" customWidth="1"/>
    <col min="10" max="10" width="12.1796875" customWidth="1"/>
    <col min="11" max="11" width="3.81640625" customWidth="1"/>
    <col min="12" max="12" width="1.1796875" customWidth="1"/>
    <col min="13" max="13" width="1.81640625" customWidth="1"/>
    <col min="14" max="14" width="2" customWidth="1"/>
    <col min="15" max="15" width="9.453125" customWidth="1"/>
    <col min="16" max="17" width="2" customWidth="1"/>
    <col min="18" max="18" width="1.1796875" customWidth="1"/>
    <col min="19" max="19" width="3.81640625" customWidth="1"/>
    <col min="20" max="20" width="12.1796875" customWidth="1"/>
    <col min="21" max="21" width="3.81640625" customWidth="1"/>
    <col min="22" max="22" width="1.1796875" customWidth="1"/>
    <col min="23" max="23" width="1.81640625" customWidth="1"/>
    <col min="24" max="24" width="2" customWidth="1"/>
    <col min="25" max="25" width="9.453125" customWidth="1"/>
    <col min="26" max="27" width="2" customWidth="1"/>
    <col min="28" max="28" width="1.1796875" customWidth="1"/>
    <col min="29" max="29" width="3.81640625" customWidth="1"/>
    <col min="30" max="30" width="12.1796875" customWidth="1"/>
    <col min="31" max="31" width="3.81640625" customWidth="1"/>
    <col min="32" max="32" width="1.1796875" customWidth="1"/>
    <col min="33" max="33" width="1.81640625" customWidth="1"/>
    <col min="34" max="34" width="2" customWidth="1"/>
    <col min="35" max="35" width="9.453125" customWidth="1"/>
    <col min="36" max="37" width="2" customWidth="1"/>
    <col min="38" max="38" width="1.1796875" customWidth="1"/>
    <col min="39" max="39" width="3.81640625" customWidth="1"/>
    <col min="40" max="40" width="12.1796875" customWidth="1"/>
  </cols>
  <sheetData>
    <row r="3" spans="1:39" x14ac:dyDescent="0.35">
      <c r="D3" s="15"/>
      <c r="E3" s="15"/>
      <c r="F3" s="15"/>
      <c r="N3" s="15"/>
      <c r="O3" s="15"/>
      <c r="P3" s="15"/>
      <c r="X3" s="15"/>
      <c r="Y3" s="15"/>
      <c r="Z3" s="15"/>
      <c r="AH3" s="15"/>
      <c r="AI3" s="15"/>
      <c r="AJ3" s="15"/>
    </row>
    <row r="4" spans="1:39" x14ac:dyDescent="0.35">
      <c r="D4" s="15"/>
      <c r="E4" s="15"/>
      <c r="F4" s="15"/>
      <c r="N4" s="15"/>
      <c r="O4" s="15"/>
      <c r="P4" s="15"/>
      <c r="X4" s="15"/>
      <c r="Y4" s="15"/>
      <c r="Z4" s="15"/>
      <c r="AH4" s="15"/>
      <c r="AI4" s="15"/>
      <c r="AJ4" s="15"/>
    </row>
    <row r="5" spans="1:39" x14ac:dyDescent="0.35">
      <c r="D5" s="15"/>
      <c r="E5" s="15"/>
      <c r="F5" s="15"/>
      <c r="N5" s="15"/>
      <c r="O5" s="15"/>
      <c r="P5" s="15"/>
      <c r="X5" s="15"/>
      <c r="Y5" s="15"/>
      <c r="Z5" s="15"/>
      <c r="AH5" s="15"/>
      <c r="AI5" s="15"/>
      <c r="AJ5" s="15"/>
    </row>
    <row r="6" spans="1:39" x14ac:dyDescent="0.35">
      <c r="D6" s="15"/>
      <c r="E6" s="15"/>
      <c r="F6" s="15"/>
      <c r="N6" s="15"/>
      <c r="O6" s="15"/>
      <c r="P6" s="15"/>
      <c r="X6" s="15"/>
      <c r="Y6" s="15"/>
      <c r="Z6" s="15"/>
      <c r="AH6" s="15"/>
      <c r="AI6" s="15"/>
      <c r="AJ6" s="15"/>
    </row>
    <row r="7" spans="1:39" x14ac:dyDescent="0.35">
      <c r="D7" s="15"/>
      <c r="E7" s="15"/>
      <c r="F7" s="15"/>
      <c r="N7" s="15"/>
      <c r="O7" s="15"/>
      <c r="P7" s="15"/>
      <c r="X7" s="15"/>
      <c r="Y7" s="15"/>
      <c r="Z7" s="15"/>
      <c r="AH7" s="15"/>
      <c r="AI7" s="15"/>
      <c r="AJ7" s="15"/>
    </row>
    <row r="8" spans="1:39" x14ac:dyDescent="0.35">
      <c r="D8" s="15"/>
      <c r="E8" s="15"/>
      <c r="F8" s="15"/>
      <c r="N8" s="15"/>
      <c r="O8" s="15"/>
      <c r="P8" s="15"/>
      <c r="X8" s="15"/>
      <c r="Y8" s="15"/>
      <c r="Z8" s="15"/>
      <c r="AH8" s="15"/>
      <c r="AI8" s="15"/>
      <c r="AJ8" s="15"/>
    </row>
    <row r="9" spans="1:39" x14ac:dyDescent="0.35">
      <c r="D9" s="15"/>
      <c r="E9" s="15"/>
      <c r="F9" s="15"/>
      <c r="N9" s="15"/>
      <c r="O9" s="15"/>
      <c r="P9" s="15"/>
      <c r="X9" s="15"/>
      <c r="Y9" s="15"/>
      <c r="Z9" s="15"/>
      <c r="AH9" s="15"/>
      <c r="AI9" s="15"/>
      <c r="AJ9" s="15"/>
    </row>
    <row r="10" spans="1:39" ht="15" customHeight="1" x14ac:dyDescent="0.35">
      <c r="C10" s="28"/>
      <c r="D10" s="29"/>
      <c r="E10" s="293"/>
      <c r="F10" s="29"/>
      <c r="G10" s="30"/>
      <c r="M10" s="28"/>
      <c r="N10" s="29"/>
      <c r="O10" s="293">
        <v>1</v>
      </c>
      <c r="P10" s="29"/>
      <c r="Q10" s="30"/>
      <c r="W10" s="28"/>
      <c r="X10" s="29"/>
      <c r="Y10" s="293">
        <v>2</v>
      </c>
      <c r="Z10" s="29"/>
      <c r="AA10" s="30"/>
      <c r="AG10" s="28"/>
      <c r="AH10" s="29"/>
      <c r="AI10" s="293">
        <v>3</v>
      </c>
      <c r="AJ10" s="29"/>
      <c r="AK10" s="30"/>
    </row>
    <row r="11" spans="1:39" ht="15" customHeight="1" x14ac:dyDescent="0.35">
      <c r="C11" s="31"/>
      <c r="D11" s="32"/>
      <c r="E11" s="294"/>
      <c r="F11" s="32"/>
      <c r="G11" s="33"/>
      <c r="M11" s="31"/>
      <c r="N11" s="32"/>
      <c r="O11" s="294"/>
      <c r="P11" s="32"/>
      <c r="Q11" s="33"/>
      <c r="W11" s="31"/>
      <c r="X11" s="32"/>
      <c r="Y11" s="294"/>
      <c r="Z11" s="32"/>
      <c r="AA11" s="33"/>
      <c r="AG11" s="31"/>
      <c r="AH11" s="32"/>
      <c r="AI11" s="294"/>
      <c r="AJ11" s="32"/>
      <c r="AK11" s="33"/>
    </row>
    <row r="12" spans="1:39" x14ac:dyDescent="0.35">
      <c r="D12" s="2"/>
      <c r="E12" s="96"/>
      <c r="F12" s="1"/>
      <c r="N12" s="2"/>
      <c r="O12" s="96"/>
      <c r="P12" s="1"/>
      <c r="X12" s="2"/>
      <c r="Y12" s="96"/>
      <c r="Z12" s="1"/>
      <c r="AH12" s="2"/>
      <c r="AI12" s="96"/>
      <c r="AJ12" s="1"/>
    </row>
    <row r="13" spans="1:39" x14ac:dyDescent="0.35">
      <c r="A13" s="1"/>
      <c r="B13" s="7"/>
      <c r="C13" s="7"/>
      <c r="D13" s="2"/>
      <c r="E13" s="15"/>
      <c r="F13" s="1"/>
      <c r="G13" s="7"/>
      <c r="H13" s="7"/>
      <c r="I13" s="2"/>
      <c r="K13" s="1"/>
      <c r="L13" s="7"/>
      <c r="M13" s="7"/>
      <c r="N13" s="2"/>
      <c r="O13" s="15"/>
      <c r="P13" s="1"/>
      <c r="Q13" s="7"/>
      <c r="R13" s="7"/>
      <c r="S13" s="2"/>
      <c r="U13" s="1"/>
      <c r="V13" s="7"/>
      <c r="W13" s="7"/>
      <c r="X13" s="2"/>
      <c r="Y13" s="15"/>
      <c r="Z13" s="1"/>
      <c r="AA13" s="7"/>
      <c r="AB13" s="7"/>
      <c r="AC13" s="2"/>
      <c r="AE13" s="1"/>
      <c r="AF13" s="7"/>
      <c r="AG13" s="7"/>
      <c r="AH13" s="2"/>
      <c r="AI13" s="15"/>
      <c r="AJ13" s="1"/>
      <c r="AK13" s="7"/>
      <c r="AL13" s="7"/>
      <c r="AM13" s="2"/>
    </row>
    <row r="14" spans="1:39" x14ac:dyDescent="0.35">
      <c r="A14" s="3"/>
      <c r="B14" s="7"/>
      <c r="C14" s="7"/>
      <c r="D14" s="2"/>
      <c r="E14" s="15"/>
      <c r="F14" s="1"/>
      <c r="G14" s="7"/>
      <c r="H14" s="7"/>
      <c r="I14" s="5"/>
      <c r="K14" s="3"/>
      <c r="L14" s="7"/>
      <c r="M14" s="7"/>
      <c r="N14" s="2"/>
      <c r="O14" s="15"/>
      <c r="P14" s="1"/>
      <c r="Q14" s="7"/>
      <c r="R14" s="7"/>
      <c r="S14" s="5"/>
      <c r="U14" s="3"/>
      <c r="V14" s="7"/>
      <c r="W14" s="7"/>
      <c r="X14" s="2"/>
      <c r="Y14" s="15"/>
      <c r="Z14" s="1"/>
      <c r="AA14" s="7"/>
      <c r="AB14" s="7"/>
      <c r="AC14" s="5"/>
      <c r="AE14" s="3"/>
      <c r="AF14" s="7"/>
      <c r="AG14" s="7"/>
      <c r="AH14" s="2"/>
      <c r="AI14" s="15"/>
      <c r="AJ14" s="1"/>
      <c r="AK14" s="7"/>
      <c r="AL14" s="7"/>
      <c r="AM14" s="5"/>
    </row>
    <row r="15" spans="1:39" x14ac:dyDescent="0.35">
      <c r="A15" s="3"/>
      <c r="B15" s="7"/>
      <c r="C15" s="7"/>
      <c r="D15" s="2"/>
      <c r="E15" s="15"/>
      <c r="F15" s="1"/>
      <c r="G15" s="7"/>
      <c r="H15" s="7"/>
      <c r="I15" s="5"/>
      <c r="K15" s="3"/>
      <c r="L15" s="7"/>
      <c r="M15" s="7"/>
      <c r="N15" s="2"/>
      <c r="O15" s="15"/>
      <c r="P15" s="1"/>
      <c r="Q15" s="7"/>
      <c r="R15" s="7"/>
      <c r="S15" s="5"/>
      <c r="U15" s="3"/>
      <c r="V15" s="7"/>
      <c r="W15" s="7"/>
      <c r="X15" s="2"/>
      <c r="Y15" s="15"/>
      <c r="Z15" s="1"/>
      <c r="AA15" s="7"/>
      <c r="AB15" s="7"/>
      <c r="AC15" s="5"/>
      <c r="AE15" s="3"/>
      <c r="AF15" s="7"/>
      <c r="AG15" s="7"/>
      <c r="AH15" s="2"/>
      <c r="AI15" s="15"/>
      <c r="AJ15" s="1"/>
      <c r="AK15" s="7"/>
      <c r="AL15" s="7"/>
      <c r="AM15" s="5"/>
    </row>
    <row r="16" spans="1:39" ht="15" thickBot="1" x14ac:dyDescent="0.4">
      <c r="A16" s="4"/>
      <c r="B16" s="7"/>
      <c r="C16" s="7"/>
      <c r="D16" s="2"/>
      <c r="E16" s="15"/>
      <c r="F16" s="1"/>
      <c r="G16" s="7"/>
      <c r="H16" s="7"/>
      <c r="I16" s="6"/>
      <c r="K16" s="4"/>
      <c r="L16" s="7"/>
      <c r="M16" s="7"/>
      <c r="N16" s="2"/>
      <c r="O16" s="15"/>
      <c r="P16" s="1"/>
      <c r="Q16" s="7"/>
      <c r="R16" s="7"/>
      <c r="S16" s="6"/>
      <c r="U16" s="4"/>
      <c r="V16" s="7"/>
      <c r="W16" s="7"/>
      <c r="X16" s="2"/>
      <c r="Y16" s="15"/>
      <c r="Z16" s="1"/>
      <c r="AA16" s="7"/>
      <c r="AB16" s="7"/>
      <c r="AC16" s="6"/>
      <c r="AE16" s="4"/>
      <c r="AF16" s="7"/>
      <c r="AG16" s="7"/>
      <c r="AH16" s="90"/>
      <c r="AI16" s="26"/>
      <c r="AJ16" s="93"/>
      <c r="AK16" s="7"/>
      <c r="AL16" s="7"/>
      <c r="AM16" s="6"/>
    </row>
    <row r="17" spans="1:40" ht="15" thickTop="1" x14ac:dyDescent="0.35">
      <c r="C17" s="16"/>
      <c r="D17" s="2"/>
      <c r="E17" s="15"/>
      <c r="F17" s="1"/>
      <c r="G17" s="18"/>
      <c r="M17" s="16"/>
      <c r="N17" s="2"/>
      <c r="O17" s="15"/>
      <c r="P17" s="1"/>
      <c r="Q17" s="18"/>
      <c r="W17" s="16"/>
      <c r="X17" s="2"/>
      <c r="Y17" s="15"/>
      <c r="Z17" s="1"/>
      <c r="AA17" s="18"/>
      <c r="AG17" s="16"/>
      <c r="AH17" s="90"/>
      <c r="AI17" s="104" t="s">
        <v>4</v>
      </c>
      <c r="AJ17" s="93"/>
      <c r="AK17" s="18"/>
    </row>
    <row r="18" spans="1:40" x14ac:dyDescent="0.35">
      <c r="C18" s="16"/>
      <c r="D18" s="2"/>
      <c r="E18" s="15"/>
      <c r="F18" s="1"/>
      <c r="G18" s="18"/>
      <c r="M18" s="16"/>
      <c r="N18" s="2"/>
      <c r="O18" s="15"/>
      <c r="P18" s="1"/>
      <c r="Q18" s="18"/>
      <c r="W18" s="16"/>
      <c r="X18" s="2"/>
      <c r="Y18" s="15"/>
      <c r="Z18" s="1"/>
      <c r="AA18" s="18"/>
      <c r="AG18" s="16"/>
      <c r="AH18" s="90"/>
      <c r="AI18" s="104" t="s">
        <v>5</v>
      </c>
      <c r="AJ18" s="93"/>
      <c r="AK18" s="18"/>
      <c r="AM18" s="101" t="s">
        <v>19</v>
      </c>
    </row>
    <row r="19" spans="1:40" x14ac:dyDescent="0.35">
      <c r="C19" s="16"/>
      <c r="D19" s="2"/>
      <c r="E19" s="15"/>
      <c r="F19" s="1"/>
      <c r="G19" s="18"/>
      <c r="M19" s="16"/>
      <c r="N19" s="2"/>
      <c r="O19" s="15"/>
      <c r="P19" s="1"/>
      <c r="Q19" s="18"/>
      <c r="W19" s="16"/>
      <c r="X19" s="90"/>
      <c r="Y19" s="104" t="s">
        <v>4</v>
      </c>
      <c r="Z19" s="93"/>
      <c r="AA19" s="18"/>
      <c r="AC19" s="101" t="s">
        <v>12</v>
      </c>
      <c r="AG19" s="16"/>
      <c r="AH19" s="90"/>
      <c r="AI19" s="104"/>
      <c r="AJ19" s="93"/>
      <c r="AK19" s="18"/>
    </row>
    <row r="20" spans="1:40" ht="15" customHeight="1" x14ac:dyDescent="0.35">
      <c r="C20" s="16"/>
      <c r="D20" s="2"/>
      <c r="E20" s="15"/>
      <c r="F20" s="1"/>
      <c r="G20" s="18"/>
      <c r="I20" s="85"/>
      <c r="J20" s="85"/>
      <c r="M20" s="16"/>
      <c r="N20" s="90"/>
      <c r="O20" s="97"/>
      <c r="P20" s="93"/>
      <c r="Q20" s="18"/>
      <c r="S20" s="292" t="s">
        <v>6</v>
      </c>
      <c r="T20" s="292"/>
      <c r="W20" s="16"/>
      <c r="X20" s="2"/>
      <c r="Y20" s="15"/>
      <c r="Z20" s="1"/>
      <c r="AA20" s="18"/>
      <c r="AB20" t="s">
        <v>18</v>
      </c>
      <c r="AD20" s="101"/>
      <c r="AG20" s="16"/>
      <c r="AH20" s="2"/>
      <c r="AI20" s="15"/>
      <c r="AJ20" s="1"/>
      <c r="AK20" s="18"/>
      <c r="AM20" s="292" t="s">
        <v>6</v>
      </c>
      <c r="AN20" s="292"/>
    </row>
    <row r="21" spans="1:40" x14ac:dyDescent="0.35">
      <c r="C21" s="16"/>
      <c r="D21" s="2"/>
      <c r="E21" s="15" t="s">
        <v>20</v>
      </c>
      <c r="F21" s="1"/>
      <c r="G21" s="18"/>
      <c r="I21" s="85"/>
      <c r="J21" s="85"/>
      <c r="M21" s="16"/>
      <c r="N21" s="90"/>
      <c r="O21" s="99" t="s">
        <v>4</v>
      </c>
      <c r="P21" s="93"/>
      <c r="Q21" s="18"/>
      <c r="S21" s="292"/>
      <c r="T21" s="292"/>
      <c r="W21" s="16"/>
      <c r="X21" s="2"/>
      <c r="Y21" s="15"/>
      <c r="Z21" s="1"/>
      <c r="AA21" s="18"/>
      <c r="AC21" s="101" t="s">
        <v>12</v>
      </c>
      <c r="AD21" s="101"/>
      <c r="AG21" s="16"/>
      <c r="AH21" s="2"/>
      <c r="AI21" s="15"/>
      <c r="AJ21" s="1"/>
      <c r="AK21" s="18"/>
      <c r="AM21" s="292"/>
      <c r="AN21" s="292"/>
    </row>
    <row r="22" spans="1:40" x14ac:dyDescent="0.35">
      <c r="C22" s="16"/>
      <c r="D22" s="2"/>
      <c r="E22" s="102"/>
      <c r="F22" s="1"/>
      <c r="G22" s="18"/>
      <c r="I22" s="85"/>
      <c r="J22" s="85"/>
      <c r="M22" s="16"/>
      <c r="N22" s="2"/>
      <c r="O22" s="100" t="s">
        <v>5</v>
      </c>
      <c r="P22" s="1"/>
      <c r="Q22" s="18"/>
      <c r="S22" s="292" t="s">
        <v>6</v>
      </c>
      <c r="T22" s="292"/>
      <c r="W22" s="16"/>
      <c r="X22" s="2"/>
      <c r="Y22" s="102"/>
      <c r="Z22" s="1"/>
      <c r="AA22" s="18"/>
      <c r="AC22" s="101"/>
      <c r="AD22" s="101"/>
      <c r="AG22" s="16"/>
      <c r="AH22" s="2"/>
      <c r="AI22" s="102"/>
      <c r="AJ22" s="1"/>
      <c r="AK22" s="18"/>
      <c r="AM22" s="101"/>
      <c r="AN22" s="101"/>
    </row>
    <row r="23" spans="1:40" x14ac:dyDescent="0.35">
      <c r="C23" s="16"/>
      <c r="D23" s="90"/>
      <c r="E23" s="103"/>
      <c r="F23" s="93"/>
      <c r="G23" s="18"/>
      <c r="I23" s="85"/>
      <c r="J23" s="85"/>
      <c r="M23" s="16"/>
      <c r="N23" s="90"/>
      <c r="O23" s="98"/>
      <c r="P23" s="93"/>
      <c r="Q23" s="18"/>
      <c r="S23" s="292"/>
      <c r="T23" s="292"/>
      <c r="W23" s="16"/>
      <c r="X23" s="90"/>
      <c r="Y23" s="103"/>
      <c r="Z23" s="93"/>
      <c r="AA23" s="18"/>
      <c r="AC23" s="101"/>
      <c r="AD23" s="101"/>
      <c r="AG23" s="16"/>
      <c r="AH23" s="90"/>
      <c r="AI23" s="103"/>
      <c r="AJ23" s="93"/>
      <c r="AK23" s="18"/>
      <c r="AM23" s="101"/>
      <c r="AN23" s="101"/>
    </row>
    <row r="24" spans="1:40" x14ac:dyDescent="0.35">
      <c r="C24" s="16"/>
      <c r="D24" s="90"/>
      <c r="E24" s="42"/>
      <c r="F24" s="93"/>
      <c r="G24" s="18"/>
      <c r="M24" s="16"/>
      <c r="N24" s="90"/>
      <c r="O24" s="42"/>
      <c r="P24" s="93"/>
      <c r="Q24" s="18"/>
      <c r="W24" s="16"/>
      <c r="X24" s="90"/>
      <c r="Y24" s="42"/>
      <c r="Z24" s="93"/>
      <c r="AA24" s="18"/>
      <c r="AG24" s="16"/>
      <c r="AH24" s="90"/>
      <c r="AI24" s="42"/>
      <c r="AJ24" s="93"/>
      <c r="AK24" s="18"/>
    </row>
    <row r="25" spans="1:40" x14ac:dyDescent="0.35">
      <c r="C25" s="16"/>
      <c r="D25" s="90"/>
      <c r="E25" s="42"/>
      <c r="F25" s="93"/>
      <c r="G25" s="18"/>
      <c r="M25" s="16"/>
      <c r="N25" s="90"/>
      <c r="O25" s="42"/>
      <c r="P25" s="93"/>
      <c r="Q25" s="18"/>
      <c r="W25" s="16"/>
      <c r="X25" s="90"/>
      <c r="Y25" s="42"/>
      <c r="Z25" s="93"/>
      <c r="AA25" s="18"/>
      <c r="AG25" s="16"/>
      <c r="AH25" s="90"/>
      <c r="AI25" s="42"/>
      <c r="AJ25" s="93"/>
      <c r="AK25" s="18"/>
    </row>
    <row r="26" spans="1:40" x14ac:dyDescent="0.35">
      <c r="C26" s="64"/>
      <c r="D26" s="91"/>
      <c r="E26" s="79"/>
      <c r="F26" s="91"/>
      <c r="G26" s="71"/>
      <c r="H26" s="71"/>
      <c r="I26" s="71"/>
      <c r="M26" s="64"/>
      <c r="N26" s="91"/>
      <c r="O26" s="79"/>
      <c r="P26" s="91"/>
      <c r="Q26" s="71"/>
      <c r="R26" s="71"/>
      <c r="S26" s="71"/>
      <c r="W26" s="64"/>
      <c r="X26" s="91"/>
      <c r="Y26" s="79"/>
      <c r="Z26" s="91"/>
      <c r="AA26" s="71"/>
      <c r="AB26" s="71"/>
      <c r="AC26" s="71"/>
      <c r="AG26" s="64"/>
      <c r="AH26" s="91"/>
      <c r="AI26" s="79"/>
      <c r="AJ26" s="91"/>
      <c r="AK26" s="71"/>
      <c r="AL26" s="71"/>
      <c r="AM26" s="71"/>
    </row>
    <row r="27" spans="1:40" x14ac:dyDescent="0.35">
      <c r="D27" s="26"/>
      <c r="E27" s="79"/>
      <c r="F27" s="25"/>
      <c r="G27" s="71"/>
      <c r="H27" s="71"/>
      <c r="I27" s="71"/>
      <c r="N27" s="26"/>
      <c r="O27" s="79"/>
      <c r="P27" s="25"/>
      <c r="Q27" s="71"/>
      <c r="R27" s="71"/>
      <c r="S27" s="71"/>
      <c r="X27" s="26"/>
      <c r="Y27" s="79"/>
      <c r="Z27" s="25"/>
      <c r="AA27" s="71"/>
      <c r="AB27" s="71"/>
      <c r="AC27" s="71"/>
      <c r="AH27" s="26"/>
      <c r="AI27" s="79"/>
      <c r="AJ27" s="25"/>
      <c r="AK27" s="71"/>
      <c r="AL27" s="71"/>
      <c r="AM27" s="71"/>
    </row>
    <row r="28" spans="1:40" x14ac:dyDescent="0.35">
      <c r="D28" s="26"/>
      <c r="E28" s="42"/>
      <c r="F28" s="25"/>
      <c r="N28" s="26"/>
      <c r="O28" s="42"/>
      <c r="P28" s="25"/>
      <c r="X28" s="26"/>
      <c r="Y28" s="42"/>
      <c r="Z28" s="25"/>
      <c r="AH28" s="26"/>
      <c r="AI28" s="42"/>
      <c r="AJ28" s="25"/>
    </row>
    <row r="29" spans="1:40" x14ac:dyDescent="0.35">
      <c r="D29" s="26"/>
      <c r="E29" s="42"/>
      <c r="F29" s="25"/>
      <c r="N29" s="26"/>
      <c r="O29" s="42"/>
      <c r="P29" s="25"/>
      <c r="X29" s="26"/>
      <c r="Y29" s="42"/>
      <c r="Z29" s="25"/>
      <c r="AH29" s="26"/>
      <c r="AI29" s="42"/>
      <c r="AJ29" s="25"/>
    </row>
    <row r="30" spans="1:40" x14ac:dyDescent="0.35">
      <c r="D30" s="26"/>
      <c r="E30" s="80"/>
      <c r="F30" s="25"/>
      <c r="G30" s="101" t="s">
        <v>6</v>
      </c>
      <c r="H30" s="101"/>
      <c r="I30" s="101"/>
      <c r="N30" s="26"/>
      <c r="O30" s="80"/>
      <c r="P30" s="25"/>
      <c r="Q30" s="101" t="s">
        <v>6</v>
      </c>
      <c r="R30" s="101"/>
      <c r="S30" s="101"/>
      <c r="X30" s="26"/>
      <c r="Y30" s="80"/>
      <c r="Z30" s="25"/>
      <c r="AA30" s="101" t="s">
        <v>6</v>
      </c>
      <c r="AB30" s="101"/>
      <c r="AC30" s="101"/>
      <c r="AH30" s="26"/>
      <c r="AI30" s="80"/>
      <c r="AJ30" s="25"/>
      <c r="AK30" s="101" t="s">
        <v>6</v>
      </c>
      <c r="AL30" s="101"/>
      <c r="AM30" s="101"/>
    </row>
    <row r="31" spans="1:40" x14ac:dyDescent="0.35">
      <c r="D31" s="26"/>
      <c r="E31" s="80"/>
      <c r="F31" s="25"/>
      <c r="G31" s="101"/>
      <c r="H31" s="101"/>
      <c r="I31" s="101"/>
      <c r="N31" s="26"/>
      <c r="O31" s="80"/>
      <c r="P31" s="25"/>
      <c r="Q31" s="101"/>
      <c r="R31" s="101"/>
      <c r="S31" s="101"/>
      <c r="X31" s="26"/>
      <c r="Y31" s="80"/>
      <c r="Z31" s="25"/>
      <c r="AA31" s="101"/>
      <c r="AB31" s="101"/>
      <c r="AC31" s="101"/>
      <c r="AH31" s="26"/>
      <c r="AI31" s="80"/>
      <c r="AJ31" s="25"/>
      <c r="AK31" s="101"/>
      <c r="AL31" s="101"/>
      <c r="AM31" s="101"/>
    </row>
    <row r="32" spans="1:40" x14ac:dyDescent="0.35">
      <c r="A32" s="58"/>
      <c r="B32" s="58"/>
      <c r="C32" s="58"/>
      <c r="D32" s="92"/>
      <c r="E32" s="81" t="s">
        <v>4</v>
      </c>
      <c r="F32" s="94"/>
      <c r="G32" s="58"/>
      <c r="H32" s="58"/>
      <c r="I32" s="58"/>
      <c r="J32" t="s">
        <v>8</v>
      </c>
      <c r="K32" s="58"/>
      <c r="L32" s="58"/>
      <c r="M32" s="58"/>
      <c r="N32" s="92"/>
      <c r="O32" s="81" t="s">
        <v>4</v>
      </c>
      <c r="P32" s="94"/>
      <c r="Q32" s="58"/>
      <c r="R32" s="58"/>
      <c r="S32" s="58"/>
      <c r="T32" t="s">
        <v>8</v>
      </c>
      <c r="U32" s="58"/>
      <c r="V32" s="58"/>
      <c r="W32" s="58"/>
      <c r="X32" s="92"/>
      <c r="Y32" s="81" t="s">
        <v>4</v>
      </c>
      <c r="Z32" s="94"/>
      <c r="AA32" s="58"/>
      <c r="AB32" s="58"/>
      <c r="AC32" s="58"/>
      <c r="AD32" t="s">
        <v>8</v>
      </c>
      <c r="AE32" s="58"/>
      <c r="AF32" s="58"/>
      <c r="AG32" s="58"/>
      <c r="AH32" s="92"/>
      <c r="AI32" s="81" t="s">
        <v>4</v>
      </c>
      <c r="AJ32" s="94"/>
      <c r="AK32" s="58"/>
      <c r="AL32" s="58"/>
      <c r="AM32" s="58"/>
      <c r="AN32" t="s">
        <v>8</v>
      </c>
    </row>
    <row r="33" spans="1:40" x14ac:dyDescent="0.35">
      <c r="A33" s="58"/>
      <c r="B33" s="58"/>
      <c r="C33" s="58"/>
      <c r="D33" s="92"/>
      <c r="E33" s="81" t="s">
        <v>5</v>
      </c>
      <c r="F33" s="94"/>
      <c r="G33" s="58"/>
      <c r="H33" s="58"/>
      <c r="I33" s="58"/>
      <c r="J33" t="s">
        <v>9</v>
      </c>
      <c r="K33" s="58"/>
      <c r="L33" s="58"/>
      <c r="M33" s="58"/>
      <c r="N33" s="92"/>
      <c r="O33" s="81" t="s">
        <v>5</v>
      </c>
      <c r="P33" s="94"/>
      <c r="Q33" s="58"/>
      <c r="R33" s="58"/>
      <c r="S33" s="58"/>
      <c r="T33" t="s">
        <v>9</v>
      </c>
      <c r="U33" s="58"/>
      <c r="V33" s="58"/>
      <c r="W33" s="58"/>
      <c r="X33" s="92"/>
      <c r="Y33" s="81" t="s">
        <v>5</v>
      </c>
      <c r="Z33" s="94"/>
      <c r="AA33" s="58"/>
      <c r="AB33" s="58"/>
      <c r="AC33" s="58"/>
      <c r="AD33" t="s">
        <v>9</v>
      </c>
      <c r="AE33" s="58"/>
      <c r="AF33" s="58"/>
      <c r="AG33" s="58"/>
      <c r="AH33" s="92"/>
      <c r="AI33" s="81" t="s">
        <v>5</v>
      </c>
      <c r="AJ33" s="94"/>
      <c r="AK33" s="58"/>
      <c r="AL33" s="58"/>
      <c r="AM33" s="58"/>
      <c r="AN33" t="s">
        <v>9</v>
      </c>
    </row>
    <row r="34" spans="1:40" x14ac:dyDescent="0.35">
      <c r="D34" s="26"/>
      <c r="E34" s="80"/>
      <c r="F34" s="25"/>
      <c r="G34" s="101" t="s">
        <v>6</v>
      </c>
      <c r="H34" s="101"/>
      <c r="I34" s="101"/>
      <c r="N34" s="26"/>
      <c r="O34" s="80"/>
      <c r="P34" s="25"/>
      <c r="Q34" s="101" t="s">
        <v>6</v>
      </c>
      <c r="R34" s="101"/>
      <c r="S34" s="101"/>
      <c r="X34" s="26"/>
      <c r="Y34" s="80"/>
      <c r="Z34" s="25"/>
      <c r="AA34" s="101" t="s">
        <v>6</v>
      </c>
      <c r="AB34" s="101"/>
      <c r="AC34" s="101"/>
      <c r="AH34" s="26"/>
      <c r="AI34" s="80"/>
      <c r="AJ34" s="25"/>
      <c r="AK34" s="101" t="s">
        <v>6</v>
      </c>
      <c r="AL34" s="101"/>
      <c r="AM34" s="101"/>
    </row>
    <row r="35" spans="1:40" x14ac:dyDescent="0.35">
      <c r="D35" s="26"/>
      <c r="E35" s="80"/>
      <c r="F35" s="25"/>
      <c r="G35" s="101"/>
      <c r="H35" s="101"/>
      <c r="I35" s="101"/>
      <c r="N35" s="26"/>
      <c r="O35" s="80"/>
      <c r="P35" s="25"/>
      <c r="Q35" s="101"/>
      <c r="R35" s="101"/>
      <c r="S35" s="101"/>
      <c r="X35" s="26"/>
      <c r="Y35" s="80"/>
      <c r="Z35" s="25"/>
      <c r="AA35" s="101"/>
      <c r="AB35" s="101"/>
      <c r="AC35" s="101"/>
      <c r="AH35" s="26"/>
      <c r="AI35" s="80"/>
      <c r="AJ35" s="25"/>
      <c r="AK35" s="101"/>
      <c r="AL35" s="101"/>
      <c r="AM35" s="101"/>
    </row>
    <row r="36" spans="1:40" x14ac:dyDescent="0.35">
      <c r="D36" s="26"/>
      <c r="E36" s="42"/>
      <c r="F36" s="25"/>
      <c r="N36" s="26"/>
      <c r="O36" s="42"/>
      <c r="P36" s="25"/>
      <c r="X36" s="26"/>
      <c r="Y36" s="42"/>
      <c r="Z36" s="25"/>
      <c r="AH36" s="26"/>
      <c r="AI36" s="42"/>
      <c r="AJ36" s="25"/>
    </row>
    <row r="37" spans="1:40" x14ac:dyDescent="0.35">
      <c r="D37" s="25"/>
      <c r="E37" s="42"/>
      <c r="F37" s="25"/>
      <c r="N37" s="25"/>
      <c r="O37" s="42"/>
      <c r="P37" s="25"/>
      <c r="X37" s="25"/>
      <c r="Y37" s="42"/>
      <c r="Z37" s="25"/>
      <c r="AH37" s="25"/>
      <c r="AI37" s="42"/>
      <c r="AJ37" s="25"/>
    </row>
    <row r="38" spans="1:40" ht="15" thickBot="1" x14ac:dyDescent="0.4">
      <c r="D38" s="25"/>
      <c r="E38" s="82" t="s">
        <v>1</v>
      </c>
      <c r="F38" s="25"/>
      <c r="G38" t="s">
        <v>7</v>
      </c>
      <c r="N38" s="25"/>
      <c r="O38" s="82" t="s">
        <v>1</v>
      </c>
      <c r="P38" s="25"/>
      <c r="Q38" t="s">
        <v>7</v>
      </c>
      <c r="X38" s="25"/>
      <c r="Y38" s="82" t="s">
        <v>1</v>
      </c>
      <c r="Z38" s="25"/>
      <c r="AA38" t="s">
        <v>7</v>
      </c>
      <c r="AH38" s="25"/>
      <c r="AI38" s="82" t="s">
        <v>1</v>
      </c>
      <c r="AJ38" s="25"/>
      <c r="AK38" t="s">
        <v>7</v>
      </c>
    </row>
    <row r="39" spans="1:40" ht="15" thickTop="1" x14ac:dyDescent="0.35">
      <c r="D39" s="25"/>
      <c r="E39" s="25"/>
      <c r="F39" s="25"/>
      <c r="N39" s="25"/>
      <c r="O39" s="25"/>
      <c r="P39" s="25"/>
      <c r="X39" s="25"/>
      <c r="Y39" s="25"/>
      <c r="Z39" s="25"/>
      <c r="AH39" s="25"/>
      <c r="AI39" s="25"/>
      <c r="AJ39" s="25"/>
    </row>
  </sheetData>
  <mergeCells count="7">
    <mergeCell ref="S22:T23"/>
    <mergeCell ref="AM20:AN21"/>
    <mergeCell ref="Y10:Y11"/>
    <mergeCell ref="AI10:AI11"/>
    <mergeCell ref="E10:E11"/>
    <mergeCell ref="O10:O11"/>
    <mergeCell ref="S20:T2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U39"/>
  <sheetViews>
    <sheetView showGridLines="0" topLeftCell="A19" zoomScale="80" zoomScaleNormal="80" workbookViewId="0">
      <selection activeCell="X21" sqref="X21"/>
    </sheetView>
  </sheetViews>
  <sheetFormatPr defaultRowHeight="14.5" x14ac:dyDescent="0.35"/>
  <cols>
    <col min="1" max="1" width="3.81640625" customWidth="1"/>
    <col min="2" max="2" width="1.1796875" customWidth="1"/>
    <col min="3" max="3" width="1.81640625" customWidth="1"/>
    <col min="4" max="4" width="2" customWidth="1"/>
    <col min="5" max="5" width="9.453125" customWidth="1"/>
    <col min="6" max="7" width="2" customWidth="1"/>
    <col min="8" max="8" width="1.1796875" customWidth="1"/>
    <col min="9" max="9" width="3.81640625" customWidth="1"/>
    <col min="10" max="10" width="12.1796875" customWidth="1"/>
    <col min="11" max="11" width="12.7265625" customWidth="1"/>
    <col min="12" max="12" width="3.81640625" customWidth="1"/>
    <col min="13" max="13" width="1.1796875" customWidth="1"/>
    <col min="14" max="14" width="1.81640625" customWidth="1"/>
    <col min="15" max="15" width="2" customWidth="1"/>
    <col min="16" max="16" width="9.453125" customWidth="1"/>
    <col min="17" max="18" width="2" customWidth="1"/>
    <col min="19" max="19" width="1.1796875" customWidth="1"/>
    <col min="20" max="20" width="3.81640625" customWidth="1"/>
    <col min="21" max="21" width="12.1796875" customWidth="1"/>
  </cols>
  <sheetData>
    <row r="3" spans="1:20" x14ac:dyDescent="0.35">
      <c r="D3" s="15"/>
      <c r="E3" s="15"/>
      <c r="F3" s="15"/>
      <c r="O3" s="15"/>
      <c r="P3" s="15"/>
      <c r="Q3" s="15"/>
    </row>
    <row r="4" spans="1:20" x14ac:dyDescent="0.35">
      <c r="D4" s="15"/>
      <c r="E4" s="15"/>
      <c r="F4" s="15"/>
      <c r="O4" s="15"/>
      <c r="P4" s="15"/>
      <c r="Q4" s="15"/>
    </row>
    <row r="5" spans="1:20" x14ac:dyDescent="0.35">
      <c r="D5" s="15"/>
      <c r="E5" s="15"/>
      <c r="F5" s="15"/>
      <c r="O5" s="15"/>
      <c r="P5" s="15"/>
      <c r="Q5" s="15"/>
    </row>
    <row r="6" spans="1:20" x14ac:dyDescent="0.35">
      <c r="D6" s="15"/>
      <c r="E6" s="15"/>
      <c r="F6" s="15"/>
      <c r="O6" s="15"/>
      <c r="P6" s="15"/>
      <c r="Q6" s="15"/>
    </row>
    <row r="7" spans="1:20" x14ac:dyDescent="0.35">
      <c r="D7" s="15"/>
      <c r="E7" s="15"/>
      <c r="F7" s="15"/>
      <c r="O7" s="15"/>
      <c r="P7" s="15"/>
      <c r="Q7" s="15"/>
    </row>
    <row r="8" spans="1:20" x14ac:dyDescent="0.35">
      <c r="D8" s="15"/>
      <c r="E8" s="15"/>
      <c r="F8" s="15"/>
      <c r="O8" s="15"/>
      <c r="P8" s="15"/>
      <c r="Q8" s="15"/>
    </row>
    <row r="9" spans="1:20" x14ac:dyDescent="0.35">
      <c r="D9" s="15"/>
      <c r="E9" s="15"/>
      <c r="F9" s="15"/>
      <c r="O9" s="15"/>
      <c r="P9" s="15"/>
      <c r="Q9" s="15"/>
    </row>
    <row r="10" spans="1:20" ht="15" customHeight="1" x14ac:dyDescent="0.35">
      <c r="D10" s="15"/>
      <c r="E10" s="15"/>
      <c r="F10" s="15"/>
      <c r="N10" s="28"/>
      <c r="O10" s="29"/>
      <c r="P10" s="293"/>
      <c r="Q10" s="29"/>
      <c r="R10" s="30"/>
    </row>
    <row r="11" spans="1:20" ht="15" customHeight="1" x14ac:dyDescent="0.35">
      <c r="D11" s="15"/>
      <c r="E11" s="15"/>
      <c r="F11" s="15"/>
      <c r="N11" s="31"/>
      <c r="O11" s="32"/>
      <c r="P11" s="294"/>
      <c r="Q11" s="32"/>
      <c r="R11" s="33"/>
    </row>
    <row r="12" spans="1:20" x14ac:dyDescent="0.35">
      <c r="B12" t="s">
        <v>21</v>
      </c>
      <c r="O12" s="2"/>
      <c r="P12" s="78"/>
      <c r="Q12" s="1"/>
    </row>
    <row r="13" spans="1:20" x14ac:dyDescent="0.35">
      <c r="A13" s="1"/>
      <c r="B13" s="7"/>
      <c r="C13" s="7"/>
      <c r="D13" s="2"/>
      <c r="E13" s="296" t="s">
        <v>17</v>
      </c>
      <c r="F13" s="1"/>
      <c r="G13" s="7"/>
      <c r="H13" s="7"/>
      <c r="I13" s="2"/>
      <c r="L13" s="1"/>
      <c r="M13" s="7"/>
      <c r="N13" s="7"/>
      <c r="O13" s="2"/>
      <c r="P13" s="42"/>
      <c r="Q13" s="1"/>
      <c r="R13" s="7"/>
      <c r="S13" s="7"/>
      <c r="T13" s="2"/>
    </row>
    <row r="14" spans="1:20" x14ac:dyDescent="0.35">
      <c r="A14" s="3"/>
      <c r="B14" s="7"/>
      <c r="C14" s="7"/>
      <c r="D14" s="2"/>
      <c r="E14" s="296"/>
      <c r="F14" s="1"/>
      <c r="G14" s="7"/>
      <c r="H14" s="7"/>
      <c r="I14" s="5"/>
      <c r="L14" s="3"/>
      <c r="M14" s="7"/>
      <c r="N14" s="7"/>
      <c r="O14" s="2"/>
      <c r="P14" s="42"/>
      <c r="Q14" s="1"/>
      <c r="R14" s="7"/>
      <c r="S14" s="7"/>
      <c r="T14" s="5"/>
    </row>
    <row r="15" spans="1:20" x14ac:dyDescent="0.35">
      <c r="A15" s="3"/>
      <c r="B15" s="7"/>
      <c r="C15" s="7"/>
      <c r="D15" s="90"/>
      <c r="E15" s="295" t="s">
        <v>17</v>
      </c>
      <c r="F15" s="93"/>
      <c r="G15" s="7"/>
      <c r="H15" s="7"/>
      <c r="I15" s="5"/>
      <c r="L15" s="3"/>
      <c r="M15" s="7"/>
      <c r="N15" s="7"/>
      <c r="O15" s="2"/>
      <c r="P15" s="42"/>
      <c r="Q15" s="1"/>
      <c r="R15" s="7"/>
      <c r="S15" s="7"/>
      <c r="T15" s="5"/>
    </row>
    <row r="16" spans="1:20" ht="15" thickBot="1" x14ac:dyDescent="0.4">
      <c r="A16" s="4"/>
      <c r="B16" s="7"/>
      <c r="C16" s="7"/>
      <c r="D16" s="90"/>
      <c r="E16" s="295"/>
      <c r="F16" s="93"/>
      <c r="G16" s="7"/>
      <c r="H16" s="7"/>
      <c r="I16" s="6"/>
      <c r="L16" s="4"/>
      <c r="M16" s="7"/>
      <c r="N16" s="7"/>
      <c r="O16" s="2"/>
      <c r="P16" s="42"/>
      <c r="Q16" s="1"/>
      <c r="R16" s="7"/>
      <c r="S16" s="7"/>
      <c r="T16" s="6"/>
    </row>
    <row r="17" spans="1:21" ht="15" thickTop="1" x14ac:dyDescent="0.35">
      <c r="C17" s="16"/>
      <c r="D17" s="2"/>
      <c r="E17" s="15"/>
      <c r="F17" s="1"/>
      <c r="G17" s="18"/>
      <c r="N17" s="16"/>
      <c r="O17" s="2"/>
      <c r="P17" s="42"/>
      <c r="Q17" s="1"/>
      <c r="R17" s="18"/>
    </row>
    <row r="18" spans="1:21" x14ac:dyDescent="0.35">
      <c r="C18" s="16"/>
      <c r="D18" s="2"/>
      <c r="E18" s="15"/>
      <c r="F18" s="1"/>
      <c r="G18" s="18"/>
      <c r="N18" s="16"/>
      <c r="O18" s="2"/>
      <c r="P18" s="42"/>
      <c r="Q18" s="1"/>
      <c r="R18" s="18"/>
    </row>
    <row r="19" spans="1:21" x14ac:dyDescent="0.35">
      <c r="C19" s="16"/>
      <c r="D19" s="2"/>
      <c r="E19" s="15"/>
      <c r="F19" s="1"/>
      <c r="G19" s="18"/>
      <c r="N19" s="16"/>
      <c r="O19" s="2"/>
      <c r="P19" s="42"/>
      <c r="Q19" s="1"/>
      <c r="R19" s="18"/>
    </row>
    <row r="20" spans="1:21" x14ac:dyDescent="0.35">
      <c r="C20" s="16"/>
      <c r="D20" s="90"/>
      <c r="E20" s="97"/>
      <c r="F20" s="93"/>
      <c r="G20" s="18"/>
      <c r="I20" s="292" t="s">
        <v>6</v>
      </c>
      <c r="J20" s="292"/>
      <c r="N20" s="16"/>
      <c r="O20" s="2"/>
      <c r="P20" s="42"/>
      <c r="Q20" s="1"/>
      <c r="R20" s="18"/>
    </row>
    <row r="21" spans="1:21" x14ac:dyDescent="0.35">
      <c r="C21" s="16"/>
      <c r="D21" s="90"/>
      <c r="E21" s="99" t="s">
        <v>4</v>
      </c>
      <c r="F21" s="93"/>
      <c r="G21" s="18"/>
      <c r="I21" s="292"/>
      <c r="J21" s="292"/>
      <c r="N21" s="16"/>
      <c r="O21" s="2"/>
      <c r="P21" s="42"/>
      <c r="Q21" s="1"/>
      <c r="R21" s="18"/>
    </row>
    <row r="22" spans="1:21" x14ac:dyDescent="0.35">
      <c r="C22" s="16"/>
      <c r="D22" s="2"/>
      <c r="E22" s="100" t="s">
        <v>5</v>
      </c>
      <c r="F22" s="1"/>
      <c r="G22" s="18"/>
      <c r="I22" s="292" t="s">
        <v>6</v>
      </c>
      <c r="J22" s="292"/>
      <c r="N22" s="16"/>
      <c r="O22" s="2"/>
      <c r="P22" s="42"/>
      <c r="Q22" s="1"/>
      <c r="R22" s="18"/>
    </row>
    <row r="23" spans="1:21" x14ac:dyDescent="0.35">
      <c r="C23" s="16"/>
      <c r="D23" s="90"/>
      <c r="E23" s="98"/>
      <c r="F23" s="93"/>
      <c r="G23" s="18"/>
      <c r="I23" s="292"/>
      <c r="J23" s="292"/>
      <c r="N23" s="16"/>
      <c r="O23" s="90"/>
      <c r="P23" s="42"/>
      <c r="Q23" s="93"/>
      <c r="R23" s="18"/>
    </row>
    <row r="24" spans="1:21" x14ac:dyDescent="0.35">
      <c r="C24" s="16"/>
      <c r="D24" s="90"/>
      <c r="E24" s="42"/>
      <c r="F24" s="93"/>
      <c r="G24" s="18"/>
      <c r="N24" s="16"/>
      <c r="O24" s="90"/>
      <c r="P24" s="42"/>
      <c r="Q24" s="93"/>
      <c r="R24" s="18"/>
    </row>
    <row r="25" spans="1:21" x14ac:dyDescent="0.35">
      <c r="C25" s="16"/>
      <c r="D25" s="90"/>
      <c r="E25" s="42"/>
      <c r="F25" s="93"/>
      <c r="G25" s="18"/>
      <c r="N25" s="16"/>
      <c r="O25" s="90"/>
      <c r="P25" s="42"/>
      <c r="Q25" s="93"/>
      <c r="R25" s="18"/>
    </row>
    <row r="26" spans="1:21" x14ac:dyDescent="0.35">
      <c r="C26" s="64"/>
      <c r="D26" s="91"/>
      <c r="E26" s="79"/>
      <c r="F26" s="91"/>
      <c r="G26" s="71"/>
      <c r="H26" s="71"/>
      <c r="I26" s="71"/>
      <c r="N26" s="64"/>
      <c r="O26" s="91"/>
      <c r="P26" s="79"/>
      <c r="Q26" s="91"/>
      <c r="R26" s="71"/>
      <c r="S26" s="71"/>
      <c r="T26" s="71"/>
    </row>
    <row r="27" spans="1:21" x14ac:dyDescent="0.35">
      <c r="D27" s="26"/>
      <c r="E27" s="79"/>
      <c r="F27" s="25"/>
      <c r="G27" s="71"/>
      <c r="H27" s="71"/>
      <c r="I27" s="71"/>
      <c r="N27" s="74" t="s">
        <v>24</v>
      </c>
      <c r="O27" s="26"/>
      <c r="P27" s="79"/>
      <c r="Q27" s="25"/>
      <c r="R27" s="71"/>
      <c r="S27" s="71"/>
      <c r="T27" s="71"/>
    </row>
    <row r="28" spans="1:21" x14ac:dyDescent="0.35">
      <c r="D28" s="26"/>
      <c r="E28" s="42"/>
      <c r="F28" s="25"/>
      <c r="O28" s="26"/>
      <c r="P28" s="42"/>
      <c r="Q28" s="25"/>
    </row>
    <row r="29" spans="1:21" x14ac:dyDescent="0.35">
      <c r="D29" s="26"/>
      <c r="E29" s="42"/>
      <c r="F29" s="25"/>
      <c r="K29" s="298" t="s">
        <v>23</v>
      </c>
      <c r="L29" s="298"/>
      <c r="M29" s="298"/>
      <c r="N29" s="298"/>
      <c r="O29" s="26"/>
      <c r="P29" s="105"/>
      <c r="Q29" s="25"/>
    </row>
    <row r="30" spans="1:21" ht="15" customHeight="1" x14ac:dyDescent="0.35">
      <c r="D30" s="26"/>
      <c r="E30" s="80"/>
      <c r="F30" s="25"/>
      <c r="G30" s="101" t="s">
        <v>6</v>
      </c>
      <c r="H30" s="101"/>
      <c r="I30" s="101"/>
      <c r="K30" s="297" t="s">
        <v>22</v>
      </c>
      <c r="L30" s="297"/>
      <c r="M30" s="297"/>
      <c r="N30" s="297"/>
      <c r="O30" s="26"/>
      <c r="P30" s="80"/>
      <c r="Q30" s="25"/>
      <c r="R30" s="292" t="s">
        <v>6</v>
      </c>
      <c r="S30" s="292"/>
      <c r="T30" s="292"/>
    </row>
    <row r="31" spans="1:21" x14ac:dyDescent="0.35">
      <c r="D31" s="26"/>
      <c r="E31" s="80"/>
      <c r="F31" s="25"/>
      <c r="G31" s="101"/>
      <c r="H31" s="101"/>
      <c r="I31" s="101"/>
      <c r="K31" s="297"/>
      <c r="L31" s="297"/>
      <c r="M31" s="297"/>
      <c r="N31" s="297"/>
      <c r="O31" s="26"/>
      <c r="P31" s="80"/>
      <c r="Q31" s="25"/>
      <c r="R31" s="292"/>
      <c r="S31" s="292"/>
      <c r="T31" s="292"/>
    </row>
    <row r="32" spans="1:21" x14ac:dyDescent="0.35">
      <c r="A32" s="58"/>
      <c r="B32" s="58"/>
      <c r="C32" s="58"/>
      <c r="D32" s="92"/>
      <c r="E32" s="81" t="s">
        <v>4</v>
      </c>
      <c r="F32" s="94"/>
      <c r="G32" s="58"/>
      <c r="H32" s="58"/>
      <c r="I32" s="58"/>
      <c r="J32" t="s">
        <v>8</v>
      </c>
      <c r="L32" s="58"/>
      <c r="M32" s="58"/>
      <c r="N32" s="58"/>
      <c r="O32" s="92"/>
      <c r="P32" s="81"/>
      <c r="Q32" s="94"/>
      <c r="R32" s="58"/>
      <c r="S32" s="58"/>
      <c r="T32" s="58"/>
      <c r="U32" t="s">
        <v>8</v>
      </c>
    </row>
    <row r="33" spans="1:21" x14ac:dyDescent="0.35">
      <c r="A33" s="58"/>
      <c r="B33" s="58"/>
      <c r="C33" s="58"/>
      <c r="D33" s="92"/>
      <c r="E33" s="81" t="s">
        <v>5</v>
      </c>
      <c r="F33" s="94"/>
      <c r="G33" s="58"/>
      <c r="H33" s="58"/>
      <c r="I33" s="58"/>
      <c r="J33" t="s">
        <v>9</v>
      </c>
      <c r="L33" s="58"/>
      <c r="M33" s="58"/>
      <c r="N33" s="58"/>
      <c r="O33" s="92"/>
      <c r="P33" s="106"/>
      <c r="Q33" s="94"/>
      <c r="R33" s="58"/>
      <c r="S33" s="58"/>
      <c r="T33" s="58"/>
      <c r="U33" t="s">
        <v>9</v>
      </c>
    </row>
    <row r="34" spans="1:21" x14ac:dyDescent="0.35">
      <c r="D34" s="26"/>
      <c r="E34" s="80"/>
      <c r="F34" s="25"/>
      <c r="G34" s="101" t="s">
        <v>6</v>
      </c>
      <c r="H34" s="101"/>
      <c r="I34" s="101"/>
      <c r="O34" s="26"/>
      <c r="P34" s="80"/>
      <c r="Q34" s="25"/>
      <c r="R34" s="292" t="s">
        <v>6</v>
      </c>
      <c r="S34" s="292"/>
      <c r="T34" s="292"/>
    </row>
    <row r="35" spans="1:21" x14ac:dyDescent="0.35">
      <c r="D35" s="26"/>
      <c r="E35" s="80"/>
      <c r="F35" s="25"/>
      <c r="G35" s="101"/>
      <c r="H35" s="101"/>
      <c r="I35" s="101"/>
      <c r="O35" s="26"/>
      <c r="P35" s="80"/>
      <c r="Q35" s="25"/>
      <c r="R35" s="292"/>
      <c r="S35" s="292"/>
      <c r="T35" s="292"/>
    </row>
    <row r="36" spans="1:21" x14ac:dyDescent="0.35">
      <c r="D36" s="26"/>
      <c r="E36" s="42"/>
      <c r="F36" s="25"/>
      <c r="O36" s="26"/>
      <c r="P36" s="42"/>
      <c r="Q36" s="25"/>
    </row>
    <row r="37" spans="1:21" x14ac:dyDescent="0.35">
      <c r="D37" s="25"/>
      <c r="E37" s="42"/>
      <c r="F37" s="25"/>
      <c r="O37" s="25"/>
      <c r="P37" s="42"/>
      <c r="Q37" s="25"/>
    </row>
    <row r="38" spans="1:21" ht="15" thickBot="1" x14ac:dyDescent="0.4">
      <c r="D38" s="25"/>
      <c r="E38" s="82" t="s">
        <v>1</v>
      </c>
      <c r="F38" s="25"/>
      <c r="G38" t="s">
        <v>7</v>
      </c>
      <c r="O38" s="25"/>
      <c r="P38" s="82" t="s">
        <v>1</v>
      </c>
      <c r="Q38" s="25"/>
      <c r="R38" t="s">
        <v>7</v>
      </c>
    </row>
    <row r="39" spans="1:21" ht="15" thickTop="1" x14ac:dyDescent="0.35">
      <c r="D39" s="25"/>
      <c r="E39" s="25"/>
      <c r="F39" s="25"/>
      <c r="O39" s="25"/>
      <c r="P39" s="25"/>
      <c r="Q39" s="25"/>
    </row>
  </sheetData>
  <mergeCells count="9">
    <mergeCell ref="E15:E16"/>
    <mergeCell ref="E13:E14"/>
    <mergeCell ref="P10:P11"/>
    <mergeCell ref="R30:T31"/>
    <mergeCell ref="R34:T35"/>
    <mergeCell ref="K30:N31"/>
    <mergeCell ref="K29:N29"/>
    <mergeCell ref="I20:J21"/>
    <mergeCell ref="I22:J2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E51"/>
  <sheetViews>
    <sheetView showGridLines="0" workbookViewId="0">
      <selection activeCell="A4" sqref="A4:K44"/>
    </sheetView>
  </sheetViews>
  <sheetFormatPr defaultRowHeight="14.5" x14ac:dyDescent="0.35"/>
  <cols>
    <col min="2" max="2" width="3.81640625" customWidth="1"/>
    <col min="3" max="3" width="1.1796875" customWidth="1"/>
    <col min="4" max="4" width="1.81640625" customWidth="1"/>
    <col min="5" max="5" width="2" customWidth="1"/>
    <col min="6" max="6" width="9.453125" customWidth="1"/>
    <col min="7" max="8" width="2" customWidth="1"/>
    <col min="9" max="9" width="1.1796875" customWidth="1"/>
    <col min="10" max="10" width="3.81640625" customWidth="1"/>
    <col min="11" max="11" width="10.54296875" customWidth="1"/>
    <col min="12" max="12" width="3.81640625" customWidth="1"/>
    <col min="13" max="13" width="1.1796875" customWidth="1"/>
    <col min="14" max="14" width="1.81640625" customWidth="1"/>
    <col min="15" max="15" width="2" customWidth="1"/>
    <col min="16" max="16" width="9.453125" customWidth="1"/>
    <col min="17" max="18" width="2" customWidth="1"/>
    <col min="19" max="19" width="1.1796875" customWidth="1"/>
    <col min="20" max="20" width="3.81640625" customWidth="1"/>
    <col min="21" max="21" width="10.54296875" customWidth="1"/>
    <col min="22" max="22" width="3.81640625" customWidth="1"/>
    <col min="23" max="23" width="1.1796875" customWidth="1"/>
    <col min="24" max="24" width="1.81640625" customWidth="1"/>
    <col min="25" max="25" width="2" customWidth="1"/>
    <col min="26" max="26" width="9.453125" customWidth="1"/>
    <col min="27" max="28" width="2" customWidth="1"/>
    <col min="29" max="29" width="1.1796875" customWidth="1"/>
    <col min="30" max="30" width="3.81640625" customWidth="1"/>
  </cols>
  <sheetData>
    <row r="1" spans="1:31" ht="18.5" x14ac:dyDescent="0.45">
      <c r="F1" s="128"/>
      <c r="P1" s="128"/>
      <c r="Z1" s="128"/>
    </row>
    <row r="2" spans="1:31" ht="18.5" x14ac:dyDescent="0.45">
      <c r="A2" s="127"/>
      <c r="B2" s="127"/>
      <c r="C2" s="127"/>
      <c r="D2" s="127"/>
      <c r="E2" s="127"/>
      <c r="F2" s="128" t="s">
        <v>36</v>
      </c>
      <c r="G2" s="127"/>
      <c r="H2" s="127"/>
      <c r="I2" s="127"/>
      <c r="J2" s="127"/>
      <c r="K2" s="127"/>
      <c r="L2" s="127"/>
      <c r="M2" s="127"/>
      <c r="N2" s="127"/>
      <c r="O2" s="127"/>
      <c r="P2" s="128" t="s">
        <v>36</v>
      </c>
      <c r="Q2" s="127"/>
      <c r="R2" s="127"/>
      <c r="S2" s="127"/>
      <c r="T2" s="127"/>
      <c r="U2" s="127"/>
      <c r="V2" s="127"/>
      <c r="W2" s="127"/>
      <c r="X2" s="127"/>
      <c r="Y2" s="127"/>
      <c r="Z2" s="128"/>
      <c r="AA2" s="187" t="s">
        <v>86</v>
      </c>
      <c r="AB2" s="127"/>
      <c r="AC2" s="127"/>
      <c r="AD2" s="127"/>
      <c r="AE2" s="127"/>
    </row>
    <row r="3" spans="1:31" ht="18.5" x14ac:dyDescent="0.45">
      <c r="F3" s="128" t="s">
        <v>84</v>
      </c>
      <c r="P3" s="128" t="s">
        <v>85</v>
      </c>
    </row>
    <row r="5" spans="1:31" x14ac:dyDescent="0.35">
      <c r="E5" s="15"/>
      <c r="F5" s="15"/>
      <c r="G5" s="15"/>
      <c r="O5" s="15"/>
      <c r="P5" s="15"/>
      <c r="Q5" s="15"/>
      <c r="Y5" s="15"/>
      <c r="Z5" s="15"/>
      <c r="AA5" s="15"/>
    </row>
    <row r="6" spans="1:31" x14ac:dyDescent="0.35">
      <c r="E6" s="15"/>
      <c r="F6" s="15"/>
      <c r="G6" s="15"/>
      <c r="O6" s="15"/>
      <c r="P6" s="15"/>
      <c r="Q6" s="15"/>
      <c r="Y6" s="15"/>
      <c r="Z6" s="15"/>
      <c r="AA6" s="15"/>
    </row>
    <row r="7" spans="1:31" x14ac:dyDescent="0.35">
      <c r="E7" s="15"/>
      <c r="F7" s="15"/>
      <c r="G7" s="15"/>
      <c r="O7" s="15"/>
      <c r="P7" s="15"/>
      <c r="Q7" s="15"/>
      <c r="Y7" s="15"/>
      <c r="Z7" s="15"/>
      <c r="AA7" s="15"/>
    </row>
    <row r="8" spans="1:31" x14ac:dyDescent="0.35">
      <c r="E8" s="15"/>
      <c r="F8" s="15"/>
      <c r="G8" s="15"/>
      <c r="O8" s="15"/>
      <c r="P8" s="15"/>
      <c r="Q8" s="15"/>
      <c r="Y8" s="15"/>
      <c r="Z8" s="15"/>
      <c r="AA8" s="15"/>
    </row>
    <row r="9" spans="1:31" x14ac:dyDescent="0.35">
      <c r="E9" s="15"/>
      <c r="F9" s="15"/>
      <c r="G9" s="15"/>
      <c r="O9" s="15"/>
      <c r="P9" s="15"/>
      <c r="Q9" s="15"/>
      <c r="Y9" s="15"/>
      <c r="Z9" s="15"/>
      <c r="AA9" s="15"/>
    </row>
    <row r="10" spans="1:31" x14ac:dyDescent="0.35">
      <c r="E10" s="15"/>
      <c r="F10" s="15"/>
      <c r="G10" s="15"/>
      <c r="O10" s="15"/>
      <c r="P10" s="15"/>
      <c r="Q10" s="15"/>
      <c r="Y10" s="15"/>
      <c r="Z10" s="15"/>
      <c r="AA10" s="15"/>
    </row>
    <row r="11" spans="1:31" x14ac:dyDescent="0.35">
      <c r="E11" s="15"/>
      <c r="F11" s="15"/>
      <c r="G11" s="15"/>
      <c r="O11" s="15"/>
      <c r="P11" s="15"/>
      <c r="Q11" s="15"/>
      <c r="Y11" s="15"/>
      <c r="Z11" s="15"/>
      <c r="AA11" s="15"/>
    </row>
    <row r="12" spans="1:31" x14ac:dyDescent="0.35">
      <c r="E12" s="15"/>
      <c r="F12" s="15"/>
      <c r="G12" s="15"/>
      <c r="O12" s="15"/>
      <c r="P12" s="15"/>
      <c r="Q12" s="15"/>
      <c r="Y12" s="15"/>
      <c r="Z12" s="15"/>
      <c r="AA12" s="15"/>
    </row>
    <row r="13" spans="1:31" x14ac:dyDescent="0.35">
      <c r="E13" s="15"/>
      <c r="F13" s="15"/>
      <c r="G13" s="15"/>
      <c r="O13" s="15"/>
      <c r="P13" s="15"/>
      <c r="Q13" s="15"/>
      <c r="Y13" s="15"/>
      <c r="Z13" s="15"/>
      <c r="AA13" s="15"/>
    </row>
    <row r="14" spans="1:31" x14ac:dyDescent="0.35">
      <c r="E14" s="15"/>
      <c r="F14" s="110"/>
      <c r="G14" s="15"/>
      <c r="O14" s="15"/>
      <c r="P14" s="110"/>
      <c r="Q14" s="15"/>
      <c r="Y14" s="15"/>
      <c r="Z14" s="110"/>
      <c r="AA14" s="15"/>
    </row>
    <row r="15" spans="1:31" x14ac:dyDescent="0.35">
      <c r="E15" s="107"/>
      <c r="F15" s="108"/>
      <c r="G15" s="109"/>
      <c r="O15" s="107"/>
      <c r="P15" s="108"/>
      <c r="Q15" s="109"/>
      <c r="Y15" s="107"/>
      <c r="Z15" s="108"/>
      <c r="AA15" s="109"/>
    </row>
    <row r="16" spans="1:31" x14ac:dyDescent="0.35">
      <c r="D16" s="28"/>
      <c r="E16" s="29"/>
      <c r="F16" s="293"/>
      <c r="G16" s="29"/>
      <c r="H16" s="30"/>
      <c r="N16" s="28"/>
      <c r="O16" s="29"/>
      <c r="P16" s="293"/>
      <c r="Q16" s="29"/>
      <c r="R16" s="30"/>
      <c r="X16" s="28"/>
      <c r="Y16" s="29"/>
      <c r="Z16" s="293"/>
      <c r="AA16" s="29"/>
      <c r="AB16" s="30"/>
    </row>
    <row r="17" spans="2:30" x14ac:dyDescent="0.35">
      <c r="D17" s="31"/>
      <c r="E17" s="32"/>
      <c r="F17" s="294"/>
      <c r="G17" s="32"/>
      <c r="H17" s="33"/>
      <c r="N17" s="31"/>
      <c r="O17" s="32"/>
      <c r="P17" s="294"/>
      <c r="Q17" s="32"/>
      <c r="R17" s="33"/>
      <c r="X17" s="31"/>
      <c r="Y17" s="32"/>
      <c r="Z17" s="294"/>
      <c r="AA17" s="32"/>
      <c r="AB17" s="33"/>
    </row>
    <row r="18" spans="2:30" x14ac:dyDescent="0.35">
      <c r="E18" s="2"/>
      <c r="F18" s="123"/>
      <c r="G18" s="1"/>
      <c r="O18" s="2"/>
      <c r="P18" s="123"/>
      <c r="Q18" s="1"/>
      <c r="Y18" s="2"/>
      <c r="Z18" s="123"/>
      <c r="AA18" s="1"/>
    </row>
    <row r="19" spans="2:30" x14ac:dyDescent="0.35">
      <c r="B19" s="1"/>
      <c r="C19" s="7"/>
      <c r="D19" s="7"/>
      <c r="E19" s="2"/>
      <c r="F19" s="124"/>
      <c r="G19" s="1"/>
      <c r="H19" s="7"/>
      <c r="I19" s="7"/>
      <c r="J19" s="2"/>
      <c r="L19" s="1"/>
      <c r="M19" s="7"/>
      <c r="N19" s="7"/>
      <c r="O19" s="2"/>
      <c r="P19" s="124"/>
      <c r="Q19" s="1"/>
      <c r="R19" s="7"/>
      <c r="S19" s="7"/>
      <c r="T19" s="2"/>
      <c r="V19" s="1"/>
      <c r="W19" s="7"/>
      <c r="X19" s="7"/>
      <c r="Y19" s="2"/>
      <c r="Z19" s="124"/>
      <c r="AA19" s="1"/>
      <c r="AB19" s="7"/>
      <c r="AC19" s="7"/>
      <c r="AD19" s="2"/>
    </row>
    <row r="20" spans="2:30" x14ac:dyDescent="0.35">
      <c r="B20" s="3"/>
      <c r="C20" s="7"/>
      <c r="D20" s="7"/>
      <c r="E20" s="2"/>
      <c r="F20" s="124"/>
      <c r="G20" s="1"/>
      <c r="H20" s="7"/>
      <c r="I20" s="7"/>
      <c r="J20" s="5"/>
      <c r="L20" s="3"/>
      <c r="M20" s="7"/>
      <c r="N20" s="7"/>
      <c r="O20" s="2"/>
      <c r="P20" s="124"/>
      <c r="Q20" s="1"/>
      <c r="R20" s="7"/>
      <c r="S20" s="7"/>
      <c r="T20" s="5"/>
      <c r="V20" s="3"/>
      <c r="W20" s="7"/>
      <c r="X20" s="7"/>
      <c r="Y20" s="2"/>
      <c r="Z20" s="124"/>
      <c r="AA20" s="1"/>
      <c r="AB20" s="7"/>
      <c r="AC20" s="7"/>
      <c r="AD20" s="5"/>
    </row>
    <row r="21" spans="2:30" ht="15" thickBot="1" x14ac:dyDescent="0.4">
      <c r="B21" s="4"/>
      <c r="C21" s="7"/>
      <c r="D21" s="7"/>
      <c r="E21" s="2"/>
      <c r="F21" s="124"/>
      <c r="G21" s="1"/>
      <c r="H21" s="7"/>
      <c r="I21" s="7"/>
      <c r="J21" s="6"/>
      <c r="L21" s="4"/>
      <c r="M21" s="7"/>
      <c r="N21" s="7"/>
      <c r="O21" s="2"/>
      <c r="P21" s="124"/>
      <c r="Q21" s="1"/>
      <c r="R21" s="7"/>
      <c r="S21" s="7"/>
      <c r="T21" s="6"/>
      <c r="V21" s="4"/>
      <c r="W21" s="7"/>
      <c r="X21" s="7"/>
      <c r="Y21" s="2"/>
      <c r="Z21" s="124"/>
      <c r="AA21" s="1"/>
      <c r="AB21" s="7"/>
      <c r="AC21" s="7"/>
      <c r="AD21" s="6"/>
    </row>
    <row r="22" spans="2:30" ht="15" thickTop="1" x14ac:dyDescent="0.35">
      <c r="D22" s="16"/>
      <c r="E22" s="2"/>
      <c r="F22" s="124"/>
      <c r="G22" s="1"/>
      <c r="H22" s="18"/>
      <c r="N22" s="16"/>
      <c r="O22" s="2"/>
      <c r="P22" s="124"/>
      <c r="Q22" s="1"/>
      <c r="R22" s="18"/>
      <c r="X22" s="16"/>
      <c r="Y22" s="2"/>
      <c r="Z22" s="124"/>
      <c r="AA22" s="1"/>
      <c r="AB22" s="18"/>
    </row>
    <row r="23" spans="2:30" x14ac:dyDescent="0.35">
      <c r="D23" s="16"/>
      <c r="E23" s="2"/>
      <c r="F23" s="124"/>
      <c r="G23" s="1"/>
      <c r="H23" s="18"/>
      <c r="N23" s="16"/>
      <c r="O23" s="2"/>
      <c r="P23" s="124"/>
      <c r="Q23" s="1"/>
      <c r="R23" s="18"/>
      <c r="X23" s="16"/>
      <c r="Y23" s="2"/>
      <c r="Z23" s="124"/>
      <c r="AA23" s="1"/>
      <c r="AB23" s="18"/>
    </row>
    <row r="24" spans="2:30" x14ac:dyDescent="0.35">
      <c r="B24" s="168" t="s">
        <v>49</v>
      </c>
      <c r="C24" s="168"/>
      <c r="D24" s="16"/>
      <c r="E24" s="90"/>
      <c r="F24" s="124"/>
      <c r="G24" s="93"/>
      <c r="H24" s="18"/>
      <c r="N24" s="16"/>
      <c r="O24" s="2"/>
      <c r="P24" s="124"/>
      <c r="Q24" s="1"/>
      <c r="R24" s="18"/>
      <c r="X24" s="16"/>
      <c r="Y24" s="2"/>
      <c r="Z24" s="124"/>
      <c r="AA24" s="1"/>
      <c r="AB24" s="18"/>
    </row>
    <row r="25" spans="2:30" x14ac:dyDescent="0.35">
      <c r="C25" s="74" t="s">
        <v>78</v>
      </c>
      <c r="D25" s="16"/>
      <c r="E25" s="90"/>
      <c r="F25" s="124"/>
      <c r="G25" s="93"/>
      <c r="H25" s="18"/>
      <c r="I25" t="s">
        <v>61</v>
      </c>
      <c r="L25" s="169" t="s">
        <v>49</v>
      </c>
      <c r="M25" s="169"/>
      <c r="N25" s="16"/>
      <c r="O25" s="2"/>
      <c r="P25" s="124"/>
      <c r="Q25" s="1"/>
      <c r="R25" s="18"/>
      <c r="V25" s="169" t="s">
        <v>49</v>
      </c>
      <c r="W25" s="169"/>
      <c r="X25" s="16"/>
      <c r="Y25" s="2"/>
      <c r="Z25" s="124"/>
      <c r="AA25" s="1"/>
      <c r="AB25" s="18"/>
    </row>
    <row r="26" spans="2:30" ht="15.5" x14ac:dyDescent="0.35">
      <c r="C26" s="74"/>
      <c r="D26" s="16"/>
      <c r="E26" s="90"/>
      <c r="F26" s="124"/>
      <c r="G26" s="93"/>
      <c r="H26" s="18"/>
      <c r="I26" t="s">
        <v>62</v>
      </c>
      <c r="M26" s="74"/>
      <c r="N26" s="16"/>
      <c r="O26" s="90"/>
      <c r="P26" s="124"/>
      <c r="Q26" s="93"/>
      <c r="R26" s="18"/>
      <c r="S26" s="182" t="s">
        <v>83</v>
      </c>
      <c r="W26" s="74"/>
      <c r="X26" s="16"/>
      <c r="Y26" s="90"/>
      <c r="Z26" s="124"/>
      <c r="AA26" s="93"/>
      <c r="AB26" s="18"/>
    </row>
    <row r="27" spans="2:30" x14ac:dyDescent="0.35">
      <c r="D27" s="16"/>
      <c r="E27" s="90"/>
      <c r="F27" s="124"/>
      <c r="G27" s="93"/>
      <c r="H27" s="18"/>
      <c r="I27" t="s">
        <v>75</v>
      </c>
      <c r="N27" s="16"/>
      <c r="O27" s="90"/>
      <c r="P27" s="124"/>
      <c r="Q27" s="93"/>
      <c r="R27" s="18"/>
      <c r="X27" s="16"/>
      <c r="Y27" s="90"/>
      <c r="Z27" s="124"/>
      <c r="AA27" s="93"/>
      <c r="AB27" s="18"/>
    </row>
    <row r="28" spans="2:30" x14ac:dyDescent="0.35">
      <c r="D28" s="16"/>
      <c r="E28" s="90"/>
      <c r="F28" s="124"/>
      <c r="G28" s="93"/>
      <c r="H28" s="18"/>
      <c r="J28" t="s">
        <v>45</v>
      </c>
      <c r="N28" s="16"/>
      <c r="O28" s="90"/>
      <c r="P28" s="124"/>
      <c r="Q28" s="93"/>
      <c r="R28" s="18"/>
      <c r="X28" s="16"/>
      <c r="Y28" s="90"/>
      <c r="Z28" s="124"/>
      <c r="AA28" s="93"/>
      <c r="AB28" s="18"/>
    </row>
    <row r="29" spans="2:30" x14ac:dyDescent="0.35">
      <c r="D29" s="64"/>
      <c r="E29" s="91"/>
      <c r="F29" s="125"/>
      <c r="G29" s="91"/>
      <c r="H29" s="71"/>
      <c r="I29" s="71"/>
      <c r="J29" s="71"/>
      <c r="N29" s="64"/>
      <c r="O29" s="91"/>
      <c r="P29" s="125"/>
      <c r="Q29" s="91"/>
      <c r="R29" s="71"/>
      <c r="S29" s="71"/>
      <c r="T29" s="71"/>
      <c r="X29" s="64"/>
      <c r="Y29" s="91"/>
      <c r="Z29" s="125"/>
      <c r="AA29" s="91"/>
      <c r="AB29" s="71"/>
      <c r="AC29" s="71"/>
      <c r="AD29" s="71"/>
    </row>
    <row r="30" spans="2:30" x14ac:dyDescent="0.35">
      <c r="D30" s="34"/>
      <c r="E30" s="26"/>
      <c r="F30" s="125"/>
      <c r="G30" s="26"/>
      <c r="H30" s="71"/>
      <c r="I30" s="71"/>
      <c r="J30" s="71"/>
      <c r="N30" s="34"/>
      <c r="O30" s="26"/>
      <c r="P30" s="125"/>
      <c r="Q30" s="26"/>
      <c r="R30" s="71"/>
      <c r="S30" s="71"/>
      <c r="T30" s="71"/>
      <c r="X30" s="34"/>
      <c r="Y30" s="26"/>
      <c r="Z30" s="125"/>
      <c r="AA30" s="26"/>
      <c r="AB30" s="71"/>
      <c r="AC30" s="71"/>
      <c r="AD30" s="71"/>
    </row>
    <row r="31" spans="2:30" x14ac:dyDescent="0.35">
      <c r="D31" s="34"/>
      <c r="E31" s="26"/>
      <c r="F31" s="125"/>
      <c r="G31" s="26"/>
      <c r="H31" s="71"/>
      <c r="I31" s="71"/>
      <c r="J31" s="71"/>
      <c r="N31" s="34"/>
      <c r="O31" s="26"/>
      <c r="P31" s="125"/>
      <c r="Q31" s="26"/>
      <c r="R31" s="71"/>
      <c r="S31" s="71"/>
      <c r="T31" s="71"/>
      <c r="X31" s="34"/>
      <c r="Y31" s="26"/>
      <c r="Z31" s="125"/>
      <c r="AA31" s="26"/>
      <c r="AB31" s="71"/>
      <c r="AC31" s="71"/>
      <c r="AD31" s="71"/>
    </row>
    <row r="32" spans="2:30" x14ac:dyDescent="0.35">
      <c r="E32" s="26"/>
      <c r="F32" s="125"/>
      <c r="G32" s="25"/>
      <c r="H32" s="71"/>
      <c r="I32" s="71"/>
      <c r="J32" s="71"/>
      <c r="O32" s="26"/>
      <c r="P32" s="125"/>
      <c r="Q32" s="25"/>
      <c r="R32" s="71"/>
      <c r="S32" s="71"/>
      <c r="T32" s="71"/>
      <c r="Y32" s="26"/>
      <c r="Z32" s="125"/>
      <c r="AA32" s="25"/>
      <c r="AB32" s="71"/>
      <c r="AC32" s="71"/>
      <c r="AD32" s="71"/>
    </row>
    <row r="33" spans="4:31" x14ac:dyDescent="0.35">
      <c r="E33" s="26"/>
      <c r="F33" s="124"/>
      <c r="G33" s="25"/>
      <c r="O33" s="26"/>
      <c r="P33" s="124"/>
      <c r="Q33" s="25"/>
      <c r="Y33" s="26"/>
      <c r="Z33" s="124"/>
      <c r="AA33" s="25"/>
    </row>
    <row r="34" spans="4:31" x14ac:dyDescent="0.35">
      <c r="E34" s="26"/>
      <c r="F34" s="124"/>
      <c r="G34" s="25"/>
      <c r="H34" s="136"/>
      <c r="O34" s="26"/>
      <c r="P34" s="124"/>
      <c r="Q34" s="25"/>
      <c r="R34" s="136"/>
      <c r="Y34" s="26"/>
      <c r="Z34" s="124"/>
      <c r="AA34" s="25"/>
      <c r="AB34" s="136"/>
    </row>
    <row r="35" spans="4:31" x14ac:dyDescent="0.35">
      <c r="E35" s="26"/>
      <c r="F35" s="124"/>
      <c r="G35" s="25"/>
      <c r="H35" s="85"/>
      <c r="I35" s="85"/>
      <c r="J35" s="85"/>
      <c r="O35" s="26"/>
      <c r="P35" s="124"/>
      <c r="Q35" s="25"/>
      <c r="R35" s="85"/>
      <c r="S35" s="85"/>
      <c r="T35" s="85"/>
      <c r="Y35" s="26"/>
      <c r="Z35" s="124"/>
      <c r="AA35" s="25"/>
      <c r="AB35" s="85"/>
      <c r="AC35" s="85"/>
      <c r="AD35" s="85"/>
    </row>
    <row r="36" spans="4:31" x14ac:dyDescent="0.35">
      <c r="E36" s="26"/>
      <c r="F36" s="124"/>
      <c r="G36" s="25"/>
      <c r="H36" s="85"/>
      <c r="I36" s="85"/>
      <c r="J36" s="85"/>
      <c r="O36" s="26"/>
      <c r="P36" s="124"/>
      <c r="Q36" s="25"/>
      <c r="R36" s="85"/>
      <c r="S36" s="85"/>
      <c r="T36" s="85"/>
      <c r="Y36" s="26"/>
      <c r="Z36" s="124"/>
      <c r="AA36" s="25"/>
      <c r="AB36" s="85"/>
      <c r="AC36" s="85"/>
      <c r="AD36" s="85"/>
    </row>
    <row r="37" spans="4:31" x14ac:dyDescent="0.35">
      <c r="E37" s="26"/>
      <c r="F37" s="124"/>
      <c r="G37" s="25"/>
      <c r="H37" s="85"/>
      <c r="I37" s="85"/>
      <c r="J37" s="85"/>
      <c r="O37" s="26"/>
      <c r="P37" s="124"/>
      <c r="Q37" s="25"/>
      <c r="R37" s="85"/>
      <c r="S37" s="85"/>
      <c r="T37" s="85"/>
      <c r="Y37" s="26"/>
      <c r="Z37" s="124"/>
      <c r="AA37" s="25"/>
      <c r="AB37" s="85"/>
      <c r="AC37" s="85"/>
      <c r="AD37" s="85"/>
    </row>
    <row r="38" spans="4:31" ht="15.5" x14ac:dyDescent="0.35">
      <c r="E38" s="26"/>
      <c r="F38" s="124"/>
      <c r="G38" s="25"/>
      <c r="H38" s="85"/>
      <c r="I38" s="85"/>
      <c r="J38" s="85"/>
      <c r="O38" s="26"/>
      <c r="P38" s="124"/>
      <c r="Q38" s="25"/>
      <c r="R38" s="183" t="s">
        <v>79</v>
      </c>
      <c r="S38" s="85"/>
      <c r="T38" s="85"/>
      <c r="Y38" s="26"/>
      <c r="Z38" s="124"/>
      <c r="AA38" s="25"/>
      <c r="AB38" s="85"/>
      <c r="AC38" s="85"/>
      <c r="AD38" s="85"/>
    </row>
    <row r="39" spans="4:31" x14ac:dyDescent="0.35">
      <c r="E39" s="26"/>
      <c r="F39" s="124"/>
      <c r="G39" s="25"/>
      <c r="H39" s="85"/>
      <c r="I39" s="85"/>
      <c r="J39" s="85"/>
      <c r="O39" s="26"/>
      <c r="P39" s="133" t="s">
        <v>1</v>
      </c>
      <c r="Q39" s="25"/>
      <c r="R39" s="85"/>
      <c r="S39" s="85"/>
      <c r="T39" s="85"/>
      <c r="Y39" s="26"/>
      <c r="Z39" s="124"/>
      <c r="AA39" s="25"/>
      <c r="AB39" s="85"/>
      <c r="AC39" s="85"/>
      <c r="AD39" s="85"/>
    </row>
    <row r="40" spans="4:31" ht="16" thickBot="1" x14ac:dyDescent="0.4">
      <c r="D40" s="74" t="s">
        <v>77</v>
      </c>
      <c r="E40" s="131"/>
      <c r="F40" s="124"/>
      <c r="G40" s="132"/>
      <c r="H40" s="85" t="s">
        <v>46</v>
      </c>
      <c r="I40" s="85"/>
      <c r="J40" s="85"/>
      <c r="N40" s="74"/>
      <c r="O40" s="131"/>
      <c r="P40" s="134" t="s">
        <v>1</v>
      </c>
      <c r="Q40" s="132"/>
      <c r="R40" s="85"/>
      <c r="S40" s="85"/>
      <c r="T40" s="85"/>
      <c r="X40" s="74"/>
      <c r="Y40" s="131"/>
      <c r="Z40" s="124"/>
      <c r="AA40" s="132"/>
      <c r="AB40" s="183" t="s">
        <v>80</v>
      </c>
      <c r="AC40" s="183"/>
      <c r="AD40" s="183"/>
      <c r="AE40" s="182"/>
    </row>
    <row r="41" spans="4:31" ht="16" thickTop="1" x14ac:dyDescent="0.35">
      <c r="E41" s="131"/>
      <c r="F41" s="124"/>
      <c r="G41" s="132"/>
      <c r="H41" t="s">
        <v>75</v>
      </c>
      <c r="O41" s="131"/>
      <c r="P41" s="132"/>
      <c r="Q41" s="132"/>
      <c r="X41" s="172"/>
      <c r="Y41" s="173"/>
      <c r="Z41" s="171"/>
      <c r="AA41" s="178"/>
      <c r="AB41" s="184"/>
      <c r="AC41" s="182"/>
      <c r="AD41" s="182"/>
      <c r="AE41" s="182"/>
    </row>
    <row r="42" spans="4:31" ht="15.5" x14ac:dyDescent="0.35">
      <c r="E42" s="132"/>
      <c r="F42" s="133" t="s">
        <v>1</v>
      </c>
      <c r="G42" s="132"/>
      <c r="O42" s="132"/>
      <c r="P42" s="132"/>
      <c r="Q42" s="132"/>
      <c r="X42" s="174"/>
      <c r="Y42" s="170"/>
      <c r="Z42" s="171"/>
      <c r="AA42" s="170"/>
      <c r="AB42" s="185"/>
      <c r="AC42" s="182" t="s">
        <v>81</v>
      </c>
      <c r="AD42" s="182"/>
      <c r="AE42" s="182"/>
    </row>
    <row r="43" spans="4:31" ht="16" thickBot="1" x14ac:dyDescent="0.4">
      <c r="D43" s="74" t="s">
        <v>76</v>
      </c>
      <c r="E43" s="132"/>
      <c r="F43" s="134" t="s">
        <v>1</v>
      </c>
      <c r="G43" s="132"/>
      <c r="H43" t="s">
        <v>59</v>
      </c>
      <c r="N43" s="74"/>
      <c r="O43" s="132"/>
      <c r="P43" s="132"/>
      <c r="Q43" s="132"/>
      <c r="X43" s="175"/>
      <c r="Y43" s="170"/>
      <c r="Z43" s="171"/>
      <c r="AA43" s="170"/>
      <c r="AB43" s="185"/>
      <c r="AC43" s="182" t="s">
        <v>82</v>
      </c>
      <c r="AD43" s="182"/>
      <c r="AE43" s="182"/>
    </row>
    <row r="44" spans="4:31" ht="16" thickTop="1" x14ac:dyDescent="0.35">
      <c r="E44" s="132"/>
      <c r="F44" s="132"/>
      <c r="G44" s="132"/>
      <c r="H44" s="136" t="s">
        <v>60</v>
      </c>
      <c r="O44" s="132"/>
      <c r="P44" s="132"/>
      <c r="Q44" s="132"/>
      <c r="R44" s="136"/>
      <c r="X44" s="176"/>
      <c r="Y44" s="177"/>
      <c r="Z44" s="171"/>
      <c r="AA44" s="179"/>
      <c r="AB44" s="186"/>
      <c r="AC44" s="182"/>
      <c r="AD44" s="182"/>
      <c r="AE44" s="182"/>
    </row>
    <row r="45" spans="4:31" x14ac:dyDescent="0.35">
      <c r="Z45" s="180"/>
    </row>
    <row r="46" spans="4:31" x14ac:dyDescent="0.35">
      <c r="Z46" s="180"/>
    </row>
    <row r="47" spans="4:31" x14ac:dyDescent="0.35">
      <c r="Z47" s="180"/>
    </row>
    <row r="48" spans="4:31" x14ac:dyDescent="0.35">
      <c r="Z48" s="180"/>
    </row>
    <row r="49" spans="26:26" x14ac:dyDescent="0.35">
      <c r="Z49" s="180"/>
    </row>
    <row r="50" spans="26:26" x14ac:dyDescent="0.35">
      <c r="Z50" s="180"/>
    </row>
    <row r="51" spans="26:26" x14ac:dyDescent="0.35">
      <c r="Z51" s="181"/>
    </row>
  </sheetData>
  <mergeCells count="3">
    <mergeCell ref="F16:F17"/>
    <mergeCell ref="P16:P17"/>
    <mergeCell ref="Z16:Z17"/>
  </mergeCells>
  <pageMargins left="0.7" right="0.7" top="0.75" bottom="0.75" header="0.3" footer="0.3"/>
  <pageSetup paperSize="9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C3:P16"/>
  <sheetViews>
    <sheetView showGridLines="0" workbookViewId="0">
      <selection activeCell="B3" sqref="B3:P16"/>
    </sheetView>
  </sheetViews>
  <sheetFormatPr defaultRowHeight="14.5" x14ac:dyDescent="0.35"/>
  <cols>
    <col min="4" max="4" width="19.7265625" customWidth="1"/>
  </cols>
  <sheetData>
    <row r="3" spans="3:16" ht="18.5" x14ac:dyDescent="0.45">
      <c r="D3" s="149"/>
      <c r="H3" s="154" t="s">
        <v>67</v>
      </c>
      <c r="M3" s="151"/>
    </row>
    <row r="4" spans="3:16" ht="18.5" x14ac:dyDescent="0.45">
      <c r="D4" s="149"/>
      <c r="H4" s="154"/>
      <c r="M4" s="151"/>
    </row>
    <row r="5" spans="3:16" ht="18.5" x14ac:dyDescent="0.45">
      <c r="D5" s="149"/>
      <c r="H5" s="154" t="s">
        <v>66</v>
      </c>
      <c r="L5" s="151"/>
      <c r="M5" s="151"/>
    </row>
    <row r="6" spans="3:16" ht="15" thickBot="1" x14ac:dyDescent="0.4">
      <c r="D6" s="150"/>
      <c r="L6" s="151"/>
      <c r="M6" s="151"/>
    </row>
    <row r="7" spans="3:16" ht="7.5" customHeight="1" thickBot="1" x14ac:dyDescent="0.4">
      <c r="D7" s="139"/>
      <c r="L7" s="152"/>
      <c r="M7" s="152"/>
    </row>
    <row r="8" spans="3:16" ht="60" customHeight="1" thickBot="1" x14ac:dyDescent="0.4">
      <c r="C8" s="144" t="s">
        <v>64</v>
      </c>
      <c r="D8" s="156" t="s">
        <v>63</v>
      </c>
      <c r="E8" s="137"/>
      <c r="F8" s="138"/>
      <c r="G8" s="138"/>
      <c r="H8" s="138"/>
      <c r="I8" s="138"/>
      <c r="J8" s="138"/>
      <c r="K8" s="138"/>
      <c r="L8" s="159" t="s">
        <v>71</v>
      </c>
      <c r="M8" s="142"/>
      <c r="N8" s="157" t="s">
        <v>70</v>
      </c>
    </row>
    <row r="9" spans="3:16" ht="7.5" customHeight="1" thickBot="1" x14ac:dyDescent="0.4">
      <c r="C9" s="145"/>
      <c r="D9" s="141"/>
    </row>
    <row r="10" spans="3:16" s="148" customFormat="1" ht="21.5" thickBot="1" x14ac:dyDescent="0.55000000000000004">
      <c r="C10" s="146"/>
    </row>
    <row r="11" spans="3:16" ht="7.5" customHeight="1" thickTop="1" thickBot="1" x14ac:dyDescent="0.4">
      <c r="C11" s="145"/>
      <c r="D11" s="139"/>
      <c r="M11" s="189"/>
      <c r="N11" s="192"/>
    </row>
    <row r="12" spans="3:16" ht="60" customHeight="1" thickBot="1" x14ac:dyDescent="0.4">
      <c r="C12" s="144" t="s">
        <v>65</v>
      </c>
      <c r="D12" s="140"/>
      <c r="E12" s="137"/>
      <c r="F12" s="138"/>
      <c r="G12" s="138"/>
      <c r="H12" s="138"/>
      <c r="I12" s="138"/>
      <c r="J12" s="138"/>
      <c r="K12" s="138"/>
      <c r="L12" s="138"/>
      <c r="M12" s="190"/>
      <c r="N12" s="48"/>
      <c r="O12" s="138"/>
      <c r="P12" s="158"/>
    </row>
    <row r="13" spans="3:16" ht="7.5" customHeight="1" thickBot="1" x14ac:dyDescent="0.4">
      <c r="D13" s="141"/>
      <c r="M13" s="191"/>
      <c r="N13" s="193"/>
    </row>
    <row r="14" spans="3:16" x14ac:dyDescent="0.35">
      <c r="M14" s="188"/>
    </row>
    <row r="15" spans="3:16" ht="15.5" x14ac:dyDescent="0.35">
      <c r="M15" s="155" t="s">
        <v>68</v>
      </c>
    </row>
    <row r="16" spans="3:16" ht="15.5" x14ac:dyDescent="0.35">
      <c r="M16" s="153" t="s">
        <v>69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CS49"/>
  <sheetViews>
    <sheetView showGridLines="0" topLeftCell="A34" zoomScale="110" zoomScaleNormal="110" workbookViewId="0">
      <selection activeCell="F3" sqref="F3"/>
    </sheetView>
  </sheetViews>
  <sheetFormatPr defaultRowHeight="14.5" x14ac:dyDescent="0.35"/>
  <cols>
    <col min="2" max="2" width="3.81640625" customWidth="1"/>
    <col min="3" max="3" width="1.1796875" customWidth="1"/>
    <col min="4" max="4" width="1.81640625" customWidth="1"/>
    <col min="5" max="5" width="2" customWidth="1"/>
    <col min="6" max="6" width="9.453125" customWidth="1"/>
    <col min="7" max="8" width="2" customWidth="1"/>
    <col min="9" max="9" width="1.1796875" customWidth="1"/>
    <col min="10" max="10" width="3.81640625" customWidth="1"/>
    <col min="12" max="12" width="3.81640625" customWidth="1"/>
    <col min="13" max="13" width="1.1796875" customWidth="1"/>
    <col min="14" max="14" width="1.81640625" customWidth="1"/>
    <col min="15" max="15" width="2" customWidth="1"/>
    <col min="16" max="16" width="9.453125" customWidth="1"/>
    <col min="17" max="18" width="2" customWidth="1"/>
    <col min="19" max="19" width="1.1796875" customWidth="1"/>
    <col min="20" max="20" width="3.81640625" customWidth="1"/>
    <col min="22" max="22" width="3.81640625" customWidth="1"/>
    <col min="23" max="23" width="1.1796875" customWidth="1"/>
    <col min="24" max="24" width="1.81640625" customWidth="1"/>
    <col min="25" max="25" width="2" customWidth="1"/>
    <col min="26" max="26" width="9.453125" customWidth="1"/>
    <col min="27" max="28" width="2" customWidth="1"/>
    <col min="29" max="29" width="1.1796875" customWidth="1"/>
    <col min="30" max="30" width="3.81640625" customWidth="1"/>
    <col min="32" max="32" width="3.81640625" customWidth="1"/>
    <col min="33" max="33" width="1.1796875" customWidth="1"/>
    <col min="34" max="34" width="1.81640625" customWidth="1"/>
    <col min="35" max="35" width="2" customWidth="1"/>
    <col min="36" max="36" width="9.453125" customWidth="1"/>
    <col min="37" max="38" width="2" customWidth="1"/>
    <col min="39" max="39" width="1.1796875" customWidth="1"/>
    <col min="40" max="40" width="3.81640625" customWidth="1"/>
    <col min="42" max="42" width="3.81640625" customWidth="1"/>
    <col min="43" max="43" width="1.1796875" customWidth="1"/>
    <col min="44" max="44" width="1.81640625" customWidth="1"/>
    <col min="45" max="45" width="2" customWidth="1"/>
    <col min="46" max="46" width="9.453125" customWidth="1"/>
    <col min="47" max="48" width="2" customWidth="1"/>
    <col min="49" max="49" width="1.1796875" customWidth="1"/>
    <col min="50" max="50" width="3.81640625" customWidth="1"/>
    <col min="52" max="52" width="3.81640625" customWidth="1"/>
    <col min="53" max="53" width="1.1796875" customWidth="1"/>
    <col min="54" max="54" width="1.81640625" customWidth="1"/>
    <col min="55" max="55" width="2" customWidth="1"/>
    <col min="56" max="56" width="9.453125" customWidth="1"/>
    <col min="57" max="58" width="2" customWidth="1"/>
    <col min="59" max="59" width="1.1796875" customWidth="1"/>
    <col min="60" max="60" width="3.81640625" customWidth="1"/>
    <col min="62" max="62" width="3.81640625" customWidth="1"/>
    <col min="63" max="63" width="1.1796875" customWidth="1"/>
    <col min="64" max="64" width="1.81640625" customWidth="1"/>
    <col min="65" max="65" width="2" customWidth="1"/>
    <col min="66" max="66" width="9.453125" customWidth="1"/>
    <col min="67" max="68" width="2" customWidth="1"/>
    <col min="69" max="69" width="1.1796875" customWidth="1"/>
    <col min="70" max="70" width="3.81640625" customWidth="1"/>
    <col min="79" max="79" width="3.81640625" customWidth="1"/>
    <col min="80" max="80" width="1.1796875" customWidth="1"/>
    <col min="81" max="81" width="1.81640625" customWidth="1"/>
    <col min="82" max="82" width="2" customWidth="1"/>
    <col min="83" max="83" width="9.453125" customWidth="1"/>
    <col min="84" max="85" width="2" customWidth="1"/>
    <col min="86" max="86" width="1.1796875" customWidth="1"/>
    <col min="87" max="87" width="3.81640625" customWidth="1"/>
    <col min="89" max="89" width="3.81640625" customWidth="1"/>
    <col min="90" max="90" width="1.1796875" customWidth="1"/>
    <col min="91" max="91" width="1.81640625" customWidth="1"/>
    <col min="92" max="92" width="2" customWidth="1"/>
    <col min="93" max="93" width="9.453125" customWidth="1"/>
    <col min="94" max="95" width="2" customWidth="1"/>
    <col min="96" max="96" width="1.1796875" customWidth="1"/>
    <col min="97" max="97" width="3.81640625" customWidth="1"/>
  </cols>
  <sheetData>
    <row r="1" spans="4:95" ht="18.5" x14ac:dyDescent="0.45">
      <c r="F1" s="128"/>
      <c r="P1" s="128"/>
      <c r="CE1" s="128"/>
      <c r="CO1" s="128"/>
    </row>
    <row r="2" spans="4:95" s="127" customFormat="1" ht="18.5" x14ac:dyDescent="0.45">
      <c r="F2" s="128" t="s">
        <v>36</v>
      </c>
      <c r="P2" s="128" t="s">
        <v>28</v>
      </c>
      <c r="Z2" s="128" t="s">
        <v>29</v>
      </c>
      <c r="AJ2" s="128" t="s">
        <v>30</v>
      </c>
      <c r="AT2" s="128" t="s">
        <v>33</v>
      </c>
      <c r="BD2" s="128" t="s">
        <v>40</v>
      </c>
      <c r="BN2" s="128" t="s">
        <v>34</v>
      </c>
      <c r="CE2" s="128" t="s">
        <v>28</v>
      </c>
      <c r="CO2" s="128" t="s">
        <v>28</v>
      </c>
    </row>
    <row r="3" spans="4:95" ht="18.5" x14ac:dyDescent="0.45">
      <c r="F3" s="128" t="s">
        <v>43</v>
      </c>
    </row>
    <row r="5" spans="4:95" x14ac:dyDescent="0.35">
      <c r="E5" s="15"/>
      <c r="F5" s="15"/>
      <c r="G5" s="15"/>
      <c r="O5" s="15"/>
      <c r="P5" s="15"/>
      <c r="Q5" s="15"/>
      <c r="Y5" s="15"/>
      <c r="Z5" s="15"/>
      <c r="AA5" s="15"/>
      <c r="AI5" s="15"/>
      <c r="AJ5" s="15"/>
      <c r="AK5" s="15"/>
      <c r="AS5" s="15"/>
      <c r="AT5" s="15"/>
      <c r="AU5" s="15"/>
      <c r="BC5" s="15"/>
      <c r="BD5" s="15"/>
      <c r="BE5" s="15"/>
      <c r="BM5" s="15"/>
      <c r="BN5" s="15"/>
      <c r="BO5" s="15"/>
      <c r="CD5" s="15"/>
      <c r="CE5" s="15"/>
      <c r="CF5" s="15"/>
      <c r="CN5" s="15"/>
      <c r="CO5" s="15"/>
      <c r="CP5" s="15"/>
    </row>
    <row r="6" spans="4:95" x14ac:dyDescent="0.35">
      <c r="E6" s="15"/>
      <c r="F6" s="15"/>
      <c r="G6" s="15"/>
      <c r="O6" s="15"/>
      <c r="P6" s="15"/>
      <c r="Q6" s="15"/>
      <c r="Y6" s="15"/>
      <c r="Z6" s="15"/>
      <c r="AA6" s="15"/>
      <c r="AI6" s="15"/>
      <c r="AJ6" s="15"/>
      <c r="AK6" s="15"/>
      <c r="AS6" s="15"/>
      <c r="AT6" s="15"/>
      <c r="AU6" s="15"/>
      <c r="BC6" s="15"/>
      <c r="BD6" s="15"/>
      <c r="BE6" s="15"/>
      <c r="BM6" s="15"/>
      <c r="BN6" s="15"/>
      <c r="BO6" s="15"/>
      <c r="CD6" s="15"/>
      <c r="CE6" s="15"/>
      <c r="CF6" s="15"/>
      <c r="CN6" s="15"/>
      <c r="CO6" s="15"/>
      <c r="CP6" s="15"/>
    </row>
    <row r="7" spans="4:95" x14ac:dyDescent="0.35">
      <c r="E7" s="15"/>
      <c r="F7" s="15"/>
      <c r="G7" s="15"/>
      <c r="O7" s="15"/>
      <c r="P7" s="15"/>
      <c r="Q7" s="15"/>
      <c r="Y7" s="15"/>
      <c r="Z7" s="15"/>
      <c r="AA7" s="15"/>
      <c r="AI7" s="15"/>
      <c r="AJ7" s="15"/>
      <c r="AK7" s="15"/>
      <c r="AS7" s="15"/>
      <c r="AT7" s="15"/>
      <c r="AU7" s="15"/>
      <c r="BC7" s="15"/>
      <c r="BD7" s="15"/>
      <c r="BE7" s="15"/>
      <c r="BM7" s="15"/>
      <c r="BN7" s="15"/>
      <c r="BO7" s="15"/>
      <c r="CD7" s="15"/>
      <c r="CE7" s="15"/>
      <c r="CF7" s="15"/>
      <c r="CN7" s="15"/>
      <c r="CO7" s="15"/>
      <c r="CP7" s="15"/>
    </row>
    <row r="8" spans="4:95" x14ac:dyDescent="0.35">
      <c r="E8" s="15"/>
      <c r="F8" s="15"/>
      <c r="G8" s="15"/>
      <c r="O8" s="15"/>
      <c r="P8" s="15"/>
      <c r="Q8" s="15"/>
      <c r="Y8" s="15"/>
      <c r="Z8" s="15"/>
      <c r="AA8" s="15"/>
      <c r="AI8" s="15"/>
      <c r="AJ8" s="15"/>
      <c r="AK8" s="15"/>
      <c r="AS8" s="15"/>
      <c r="AT8" s="15"/>
      <c r="AU8" s="15"/>
      <c r="BC8" s="15"/>
      <c r="BD8" s="15"/>
      <c r="BE8" s="15"/>
      <c r="BM8" s="15"/>
      <c r="BN8" s="15"/>
      <c r="BO8" s="15"/>
      <c r="CD8" s="15"/>
      <c r="CE8" s="15"/>
      <c r="CF8" s="15"/>
      <c r="CN8" s="15"/>
      <c r="CO8" s="15"/>
      <c r="CP8" s="15"/>
    </row>
    <row r="9" spans="4:95" x14ac:dyDescent="0.35">
      <c r="E9" s="15"/>
      <c r="F9" s="15"/>
      <c r="G9" s="15"/>
      <c r="O9" s="15"/>
      <c r="P9" s="15"/>
      <c r="Q9" s="15"/>
      <c r="Y9" s="15"/>
      <c r="Z9" s="15"/>
      <c r="AA9" s="15"/>
      <c r="AI9" s="15"/>
      <c r="AJ9" s="15"/>
      <c r="AK9" s="15"/>
      <c r="AS9" s="15"/>
      <c r="AT9" s="15"/>
      <c r="AU9" s="15"/>
      <c r="BC9" s="15"/>
      <c r="BD9" s="15"/>
      <c r="BE9" s="15"/>
      <c r="BM9" s="15"/>
      <c r="BN9" s="15"/>
      <c r="BO9" s="15"/>
      <c r="CD9" s="15"/>
      <c r="CE9" s="15"/>
      <c r="CF9" s="15"/>
      <c r="CN9" s="15"/>
      <c r="CO9" s="15"/>
      <c r="CP9" s="15"/>
    </row>
    <row r="10" spans="4:95" x14ac:dyDescent="0.35">
      <c r="E10" s="15"/>
      <c r="F10" s="15"/>
      <c r="G10" s="15"/>
      <c r="O10" s="15"/>
      <c r="P10" s="15"/>
      <c r="Q10" s="15"/>
      <c r="Y10" s="15"/>
      <c r="Z10" s="15"/>
      <c r="AA10" s="15"/>
      <c r="AI10" s="15"/>
      <c r="AJ10" s="15"/>
      <c r="AK10" s="15"/>
      <c r="AS10" s="15"/>
      <c r="AT10" s="15"/>
      <c r="AU10" s="15"/>
      <c r="BC10" s="15"/>
      <c r="BD10" s="15"/>
      <c r="BE10" s="15"/>
      <c r="BM10" s="15"/>
      <c r="BN10" s="15"/>
      <c r="BO10" s="15"/>
      <c r="CD10" s="15"/>
      <c r="CE10" s="15"/>
      <c r="CF10" s="15"/>
      <c r="CN10" s="15"/>
      <c r="CO10" s="15"/>
      <c r="CP10" s="15"/>
    </row>
    <row r="11" spans="4:95" x14ac:dyDescent="0.35">
      <c r="E11" s="15"/>
      <c r="F11" s="15"/>
      <c r="G11" s="15"/>
      <c r="O11" s="15"/>
      <c r="P11" s="15"/>
      <c r="Q11" s="15"/>
      <c r="Y11" s="15"/>
      <c r="Z11" s="15"/>
      <c r="AA11" s="15"/>
      <c r="AI11" s="15"/>
      <c r="AJ11" s="15"/>
      <c r="AK11" s="15"/>
      <c r="AS11" s="15"/>
      <c r="AT11" s="15"/>
      <c r="AU11" s="15"/>
      <c r="BC11" s="15"/>
      <c r="BD11" s="15"/>
      <c r="BE11" s="15"/>
      <c r="BM11" s="15"/>
      <c r="BN11" s="15"/>
      <c r="BO11" s="15"/>
      <c r="CD11" s="15"/>
      <c r="CE11" s="15"/>
      <c r="CF11" s="15"/>
      <c r="CN11" s="15"/>
      <c r="CO11" s="15"/>
      <c r="CP11" s="15"/>
    </row>
    <row r="12" spans="4:95" x14ac:dyDescent="0.35">
      <c r="E12" s="15"/>
      <c r="F12" s="15"/>
      <c r="G12" s="15"/>
      <c r="O12" s="15"/>
      <c r="P12" s="15"/>
      <c r="Q12" s="15"/>
      <c r="Y12" s="15"/>
      <c r="Z12" s="15"/>
      <c r="AA12" s="15"/>
      <c r="AI12" s="15"/>
      <c r="AJ12" s="15"/>
      <c r="AK12" s="15"/>
      <c r="AS12" s="15"/>
      <c r="AT12" s="15"/>
      <c r="AU12" s="15"/>
      <c r="BC12" s="15"/>
      <c r="BD12" s="15"/>
      <c r="BE12" s="15"/>
      <c r="BM12" s="15"/>
      <c r="BN12" s="15"/>
      <c r="BO12" s="15"/>
      <c r="CD12" s="15"/>
      <c r="CE12" s="15"/>
      <c r="CF12" s="15"/>
      <c r="CN12" s="15"/>
      <c r="CO12" s="15"/>
      <c r="CP12" s="15"/>
    </row>
    <row r="13" spans="4:95" x14ac:dyDescent="0.35">
      <c r="E13" s="15"/>
      <c r="F13" s="15"/>
      <c r="G13" s="15"/>
      <c r="O13" s="15"/>
      <c r="P13" s="15"/>
      <c r="Q13" s="15"/>
      <c r="Y13" s="15"/>
      <c r="Z13" s="15"/>
      <c r="AA13" s="15"/>
      <c r="AI13" s="15"/>
      <c r="AJ13" s="15"/>
      <c r="AK13" s="15"/>
      <c r="AS13" s="15"/>
      <c r="AT13" s="15"/>
      <c r="AU13" s="15"/>
      <c r="BC13" s="15"/>
      <c r="BD13" s="15"/>
      <c r="BE13" s="15"/>
      <c r="BM13" s="15"/>
      <c r="BN13" s="15"/>
      <c r="BO13" s="15"/>
      <c r="CD13" s="15"/>
      <c r="CE13" s="15"/>
      <c r="CF13" s="15"/>
      <c r="CN13" s="15"/>
      <c r="CO13" s="15"/>
      <c r="CP13" s="15"/>
    </row>
    <row r="14" spans="4:95" x14ac:dyDescent="0.35">
      <c r="E14" s="15"/>
      <c r="F14" s="110"/>
      <c r="G14" s="15"/>
      <c r="O14" s="15"/>
      <c r="P14" s="110"/>
      <c r="Q14" s="15"/>
      <c r="Y14" s="15"/>
      <c r="Z14" s="110"/>
      <c r="AA14" s="15"/>
      <c r="AI14" s="15"/>
      <c r="AJ14" s="110"/>
      <c r="AK14" s="15"/>
      <c r="AS14" s="15"/>
      <c r="AT14" s="110"/>
      <c r="AU14" s="15"/>
      <c r="BC14" s="15"/>
      <c r="BD14" s="110"/>
      <c r="BE14" s="15"/>
      <c r="BM14" s="15"/>
      <c r="BN14" s="110"/>
      <c r="BO14" s="15"/>
      <c r="CD14" s="15"/>
      <c r="CE14" s="110"/>
      <c r="CF14" s="15"/>
      <c r="CN14" s="15"/>
      <c r="CO14" s="110"/>
      <c r="CP14" s="15"/>
    </row>
    <row r="15" spans="4:95" x14ac:dyDescent="0.35">
      <c r="E15" s="107"/>
      <c r="F15" s="108"/>
      <c r="G15" s="109"/>
      <c r="O15" s="107"/>
      <c r="P15" s="108"/>
      <c r="Q15" s="109"/>
      <c r="Y15" s="107"/>
      <c r="Z15" s="108"/>
      <c r="AA15" s="109"/>
      <c r="AI15" s="107"/>
      <c r="AJ15" s="108"/>
      <c r="AK15" s="109"/>
      <c r="AS15" s="107"/>
      <c r="AT15" s="108"/>
      <c r="AU15" s="109"/>
      <c r="BC15" s="107"/>
      <c r="BD15" s="108"/>
      <c r="BE15" s="109"/>
      <c r="BM15" s="107"/>
      <c r="BN15" s="108"/>
      <c r="BO15" s="109"/>
      <c r="CD15" s="107"/>
      <c r="CE15" s="108"/>
      <c r="CF15" s="109"/>
      <c r="CN15" s="107"/>
      <c r="CO15" s="108"/>
      <c r="CP15" s="109"/>
    </row>
    <row r="16" spans="4:95" x14ac:dyDescent="0.35">
      <c r="D16" s="28"/>
      <c r="E16" s="29"/>
      <c r="F16" s="293"/>
      <c r="G16" s="29"/>
      <c r="H16" s="30"/>
      <c r="K16" s="299" t="s">
        <v>54</v>
      </c>
      <c r="L16" s="299"/>
      <c r="M16" s="135"/>
      <c r="N16" s="28"/>
      <c r="O16" s="29"/>
      <c r="P16" s="293"/>
      <c r="Q16" s="29"/>
      <c r="R16" s="30"/>
      <c r="X16" s="28"/>
      <c r="Y16" s="29"/>
      <c r="Z16" s="293"/>
      <c r="AA16" s="29"/>
      <c r="AB16" s="30"/>
      <c r="AH16" s="28"/>
      <c r="AI16" s="29"/>
      <c r="AJ16" s="293"/>
      <c r="AK16" s="29"/>
      <c r="AL16" s="30"/>
      <c r="AR16" s="28"/>
      <c r="AS16" s="29"/>
      <c r="AT16" s="293"/>
      <c r="AU16" s="29"/>
      <c r="AV16" s="30"/>
      <c r="BB16" s="28"/>
      <c r="BC16" s="29"/>
      <c r="BD16" s="293"/>
      <c r="BE16" s="29"/>
      <c r="BF16" s="30"/>
      <c r="BL16" s="28"/>
      <c r="BM16" s="29"/>
      <c r="BN16" s="293"/>
      <c r="BO16" s="29"/>
      <c r="BP16" s="30"/>
      <c r="CC16" s="28"/>
      <c r="CD16" s="29"/>
      <c r="CE16" s="293"/>
      <c r="CF16" s="29"/>
      <c r="CG16" s="30"/>
      <c r="CM16" s="28"/>
      <c r="CN16" s="29"/>
      <c r="CO16" s="293"/>
      <c r="CP16" s="29"/>
      <c r="CQ16" s="30"/>
    </row>
    <row r="17" spans="2:97" x14ac:dyDescent="0.35">
      <c r="D17" s="31"/>
      <c r="E17" s="32"/>
      <c r="F17" s="294"/>
      <c r="G17" s="32"/>
      <c r="H17" s="33"/>
      <c r="K17" s="299" t="s">
        <v>53</v>
      </c>
      <c r="L17" s="299"/>
      <c r="M17" s="300"/>
      <c r="N17" s="31"/>
      <c r="O17" s="32"/>
      <c r="P17" s="294"/>
      <c r="Q17" s="32"/>
      <c r="R17" s="33"/>
      <c r="X17" s="31"/>
      <c r="Y17" s="32"/>
      <c r="Z17" s="294"/>
      <c r="AA17" s="32"/>
      <c r="AB17" s="33"/>
      <c r="AH17" s="31"/>
      <c r="AI17" s="32"/>
      <c r="AJ17" s="294"/>
      <c r="AK17" s="32"/>
      <c r="AL17" s="33"/>
      <c r="AR17" s="31"/>
      <c r="AS17" s="32"/>
      <c r="AT17" s="294"/>
      <c r="AU17" s="32"/>
      <c r="AV17" s="33"/>
      <c r="BB17" s="31"/>
      <c r="BC17" s="32"/>
      <c r="BD17" s="294"/>
      <c r="BE17" s="32"/>
      <c r="BF17" s="33"/>
      <c r="BL17" s="31"/>
      <c r="BM17" s="32"/>
      <c r="BN17" s="294"/>
      <c r="BO17" s="32"/>
      <c r="BP17" s="33"/>
      <c r="CC17" s="31"/>
      <c r="CD17" s="32"/>
      <c r="CE17" s="294"/>
      <c r="CF17" s="32"/>
      <c r="CG17" s="33"/>
      <c r="CM17" s="31"/>
      <c r="CN17" s="32"/>
      <c r="CO17" s="294"/>
      <c r="CP17" s="32"/>
      <c r="CQ17" s="33"/>
    </row>
    <row r="18" spans="2:97" x14ac:dyDescent="0.35">
      <c r="E18" s="2"/>
      <c r="F18" s="123"/>
      <c r="G18" s="1"/>
      <c r="O18" s="2"/>
      <c r="P18" s="123"/>
      <c r="Q18" s="1"/>
      <c r="Y18" s="2"/>
      <c r="Z18" s="123"/>
      <c r="AA18" s="1"/>
      <c r="AI18" s="2"/>
      <c r="AJ18" s="113"/>
      <c r="AK18" s="1"/>
      <c r="AS18" s="2"/>
      <c r="AT18" s="119"/>
      <c r="AU18" s="1"/>
      <c r="BC18" s="2"/>
      <c r="BD18" s="119"/>
      <c r="BE18" s="1"/>
      <c r="BM18" s="2"/>
      <c r="BN18" s="119"/>
      <c r="BO18" s="1"/>
      <c r="CD18" s="2"/>
      <c r="CE18" s="123"/>
      <c r="CF18" s="1"/>
      <c r="CN18" s="2"/>
      <c r="CO18" s="119"/>
      <c r="CP18" s="1"/>
    </row>
    <row r="19" spans="2:97" x14ac:dyDescent="0.35">
      <c r="B19" s="1"/>
      <c r="C19" s="7"/>
      <c r="D19" s="7"/>
      <c r="E19" s="2"/>
      <c r="F19" s="124"/>
      <c r="G19" s="1"/>
      <c r="H19" s="7"/>
      <c r="I19" s="7"/>
      <c r="J19" s="2"/>
      <c r="L19" s="1"/>
      <c r="M19" s="7"/>
      <c r="N19" s="7"/>
      <c r="O19" s="2"/>
      <c r="P19" s="124"/>
      <c r="Q19" s="1"/>
      <c r="R19" s="7"/>
      <c r="S19" s="7"/>
      <c r="T19" s="2"/>
      <c r="V19" s="1"/>
      <c r="W19" s="7"/>
      <c r="X19" s="7"/>
      <c r="Y19" s="2"/>
      <c r="Z19" s="124"/>
      <c r="AA19" s="1"/>
      <c r="AB19" s="7"/>
      <c r="AC19" s="7"/>
      <c r="AD19" s="2"/>
      <c r="AF19" s="1"/>
      <c r="AG19" s="7"/>
      <c r="AH19" s="7"/>
      <c r="AI19" s="2"/>
      <c r="AJ19" s="114"/>
      <c r="AK19" s="1"/>
      <c r="AL19" s="7"/>
      <c r="AM19" s="7"/>
      <c r="AN19" s="2"/>
      <c r="AP19" s="1"/>
      <c r="AQ19" s="7"/>
      <c r="AR19" s="7"/>
      <c r="AS19" s="2"/>
      <c r="AT19" s="105"/>
      <c r="AU19" s="1"/>
      <c r="AV19" s="7"/>
      <c r="AW19" s="7"/>
      <c r="AX19" s="2"/>
      <c r="AZ19" s="1"/>
      <c r="BA19" s="7"/>
      <c r="BB19" s="7"/>
      <c r="BC19" s="2"/>
      <c r="BD19" s="105"/>
      <c r="BE19" s="1"/>
      <c r="BF19" s="7"/>
      <c r="BG19" s="7"/>
      <c r="BH19" s="2"/>
      <c r="BJ19" s="1"/>
      <c r="BK19" s="7"/>
      <c r="BL19" s="7"/>
      <c r="BM19" s="2"/>
      <c r="BN19" s="105"/>
      <c r="BO19" s="1"/>
      <c r="BP19" s="7"/>
      <c r="BQ19" s="7"/>
      <c r="BR19" s="2"/>
      <c r="CA19" s="1"/>
      <c r="CB19" s="7"/>
      <c r="CC19" s="7"/>
      <c r="CD19" s="2"/>
      <c r="CE19" s="124"/>
      <c r="CF19" s="1"/>
      <c r="CG19" s="7"/>
      <c r="CH19" s="7"/>
      <c r="CI19" s="2"/>
      <c r="CK19" s="1"/>
      <c r="CL19" s="7"/>
      <c r="CM19" s="7"/>
      <c r="CN19" s="2"/>
      <c r="CO19" s="105"/>
      <c r="CP19" s="1"/>
      <c r="CQ19" s="7"/>
      <c r="CR19" s="7"/>
      <c r="CS19" s="2"/>
    </row>
    <row r="20" spans="2:97" x14ac:dyDescent="0.35">
      <c r="B20" s="3"/>
      <c r="C20" s="7"/>
      <c r="D20" s="7"/>
      <c r="E20" s="2"/>
      <c r="F20" s="124"/>
      <c r="G20" s="1"/>
      <c r="H20" s="7"/>
      <c r="I20" s="7"/>
      <c r="J20" s="5"/>
      <c r="L20" s="3"/>
      <c r="M20" s="7"/>
      <c r="N20" s="7"/>
      <c r="O20" s="2"/>
      <c r="P20" s="124"/>
      <c r="Q20" s="1"/>
      <c r="R20" s="7"/>
      <c r="S20" s="7"/>
      <c r="T20" s="5"/>
      <c r="V20" s="3"/>
      <c r="W20" s="7"/>
      <c r="X20" s="7"/>
      <c r="Y20" s="2"/>
      <c r="Z20" s="124"/>
      <c r="AA20" s="1"/>
      <c r="AB20" s="7"/>
      <c r="AC20" s="7"/>
      <c r="AD20" s="5"/>
      <c r="AF20" s="3"/>
      <c r="AG20" s="7"/>
      <c r="AH20" s="7"/>
      <c r="AI20" s="2"/>
      <c r="AJ20" s="114"/>
      <c r="AK20" s="1"/>
      <c r="AL20" s="7"/>
      <c r="AM20" s="7"/>
      <c r="AN20" s="5"/>
      <c r="AP20" s="3"/>
      <c r="AQ20" s="7"/>
      <c r="AR20" s="7"/>
      <c r="AS20" s="2"/>
      <c r="AT20" s="105"/>
      <c r="AU20" s="1"/>
      <c r="AV20" s="7"/>
      <c r="AW20" s="7"/>
      <c r="AX20" s="5"/>
      <c r="AZ20" s="3"/>
      <c r="BA20" s="7"/>
      <c r="BB20" s="7"/>
      <c r="BC20" s="2"/>
      <c r="BD20" s="105"/>
      <c r="BE20" s="1"/>
      <c r="BF20" s="7"/>
      <c r="BG20" s="7"/>
      <c r="BH20" s="5"/>
      <c r="BJ20" s="3"/>
      <c r="BK20" s="7"/>
      <c r="BL20" s="7"/>
      <c r="BM20" s="2"/>
      <c r="BN20" s="105"/>
      <c r="BO20" s="1"/>
      <c r="BP20" s="7"/>
      <c r="BQ20" s="7"/>
      <c r="BR20" s="5"/>
      <c r="CA20" s="3"/>
      <c r="CB20" s="7"/>
      <c r="CC20" s="7"/>
      <c r="CD20" s="2"/>
      <c r="CE20" s="124"/>
      <c r="CF20" s="1"/>
      <c r="CG20" s="7"/>
      <c r="CH20" s="7"/>
      <c r="CI20" s="5"/>
      <c r="CK20" s="3"/>
      <c r="CL20" s="7"/>
      <c r="CM20" s="7"/>
      <c r="CN20" s="2"/>
      <c r="CO20" s="105"/>
      <c r="CP20" s="1"/>
      <c r="CQ20" s="7"/>
      <c r="CR20" s="7"/>
      <c r="CS20" s="5"/>
    </row>
    <row r="21" spans="2:97" ht="15" thickBot="1" x14ac:dyDescent="0.4">
      <c r="B21" s="4"/>
      <c r="C21" s="7"/>
      <c r="D21" s="7"/>
      <c r="E21" s="2"/>
      <c r="F21" s="124"/>
      <c r="G21" s="1"/>
      <c r="H21" s="7"/>
      <c r="I21" s="7"/>
      <c r="J21" s="6"/>
      <c r="L21" s="4"/>
      <c r="M21" s="7"/>
      <c r="N21" s="7"/>
      <c r="O21" s="2"/>
      <c r="P21" s="124"/>
      <c r="Q21" s="1"/>
      <c r="R21" s="7"/>
      <c r="S21" s="7"/>
      <c r="T21" s="6"/>
      <c r="V21" s="4"/>
      <c r="W21" s="7"/>
      <c r="X21" s="7"/>
      <c r="Y21" s="2"/>
      <c r="Z21" s="124"/>
      <c r="AA21" s="1"/>
      <c r="AB21" s="7"/>
      <c r="AC21" s="7"/>
      <c r="AD21" s="6"/>
      <c r="AF21" s="4"/>
      <c r="AG21" s="7"/>
      <c r="AH21" s="7"/>
      <c r="AI21" s="2"/>
      <c r="AJ21" s="114"/>
      <c r="AK21" s="1"/>
      <c r="AL21" s="7"/>
      <c r="AM21" s="7"/>
      <c r="AN21" s="6"/>
      <c r="AP21" s="4"/>
      <c r="AQ21" s="7"/>
      <c r="AR21" s="7"/>
      <c r="AS21" s="2"/>
      <c r="AT21" s="105"/>
      <c r="AU21" s="1"/>
      <c r="AV21" s="7"/>
      <c r="AW21" s="7"/>
      <c r="AX21" s="6"/>
      <c r="AZ21" s="4"/>
      <c r="BA21" s="7"/>
      <c r="BB21" s="7"/>
      <c r="BC21" s="2"/>
      <c r="BD21" s="105"/>
      <c r="BE21" s="1"/>
      <c r="BF21" s="7"/>
      <c r="BG21" s="7"/>
      <c r="BH21" s="6"/>
      <c r="BJ21" s="4"/>
      <c r="BK21" s="7"/>
      <c r="BL21" s="7"/>
      <c r="BM21" s="2"/>
      <c r="BN21" s="105"/>
      <c r="BO21" s="1"/>
      <c r="BP21" s="7"/>
      <c r="BQ21" s="7"/>
      <c r="BR21" s="6"/>
      <c r="CA21" s="4"/>
      <c r="CB21" s="7"/>
      <c r="CC21" s="7"/>
      <c r="CD21" s="2"/>
      <c r="CE21" s="124"/>
      <c r="CF21" s="1"/>
      <c r="CG21" s="7"/>
      <c r="CH21" s="7"/>
      <c r="CI21" s="6"/>
      <c r="CK21" s="4"/>
      <c r="CL21" s="7"/>
      <c r="CM21" s="7"/>
      <c r="CN21" s="2"/>
      <c r="CO21" s="105"/>
      <c r="CP21" s="1"/>
      <c r="CQ21" s="7"/>
      <c r="CR21" s="7"/>
      <c r="CS21" s="6"/>
    </row>
    <row r="22" spans="2:97" ht="15" thickTop="1" x14ac:dyDescent="0.35">
      <c r="D22" s="16"/>
      <c r="E22" s="2"/>
      <c r="F22" s="124"/>
      <c r="G22" s="1"/>
      <c r="H22" s="18"/>
      <c r="N22" s="16"/>
      <c r="O22" s="2"/>
      <c r="P22" s="124"/>
      <c r="Q22" s="1"/>
      <c r="R22" s="18"/>
      <c r="X22" s="16"/>
      <c r="Y22" s="2"/>
      <c r="Z22" s="124"/>
      <c r="AA22" s="1"/>
      <c r="AB22" s="18"/>
      <c r="AH22" s="16"/>
      <c r="AI22" s="2"/>
      <c r="AJ22" s="114"/>
      <c r="AK22" s="1"/>
      <c r="AL22" s="18"/>
      <c r="AR22" s="16"/>
      <c r="AS22" s="2"/>
      <c r="AT22" s="105"/>
      <c r="AU22" s="1"/>
      <c r="AV22" s="18"/>
      <c r="BB22" s="16"/>
      <c r="BC22" s="2"/>
      <c r="BD22" s="105"/>
      <c r="BE22" s="1"/>
      <c r="BF22" s="18"/>
      <c r="BL22" s="16"/>
      <c r="BM22" s="2"/>
      <c r="BN22" s="105"/>
      <c r="BO22" s="1"/>
      <c r="BP22" s="18"/>
      <c r="CC22" s="16"/>
      <c r="CD22" s="2"/>
      <c r="CE22" s="124"/>
      <c r="CF22" s="1"/>
      <c r="CG22" s="18"/>
      <c r="CM22" s="16"/>
      <c r="CN22" s="2"/>
      <c r="CO22" s="105"/>
      <c r="CP22" s="1"/>
      <c r="CQ22" s="18"/>
    </row>
    <row r="23" spans="2:97" x14ac:dyDescent="0.35">
      <c r="D23" s="16"/>
      <c r="E23" s="2"/>
      <c r="F23" s="124"/>
      <c r="G23" s="1"/>
      <c r="H23" s="18"/>
      <c r="N23" s="16"/>
      <c r="O23" s="2"/>
      <c r="P23" s="124"/>
      <c r="Q23" s="1"/>
      <c r="R23" s="18"/>
      <c r="X23" s="16"/>
      <c r="Y23" s="2"/>
      <c r="Z23" s="124"/>
      <c r="AA23" s="1"/>
      <c r="AB23" s="18"/>
      <c r="AH23" s="16"/>
      <c r="AI23" s="2"/>
      <c r="AJ23" s="114"/>
      <c r="AK23" s="1"/>
      <c r="AL23" s="18"/>
      <c r="AR23" s="16"/>
      <c r="AS23" s="2"/>
      <c r="AT23" s="105"/>
      <c r="AU23" s="1"/>
      <c r="AV23" s="18"/>
      <c r="BB23" s="16"/>
      <c r="BC23" s="2"/>
      <c r="BD23" s="105"/>
      <c r="BE23" s="1"/>
      <c r="BF23" s="18"/>
      <c r="BL23" s="16"/>
      <c r="BM23" s="2"/>
      <c r="BN23" s="105"/>
      <c r="BO23" s="1"/>
      <c r="BP23" s="18"/>
      <c r="CC23" s="16"/>
      <c r="CD23" s="2"/>
      <c r="CE23" s="124"/>
      <c r="CF23" s="1"/>
      <c r="CG23" s="18"/>
      <c r="CM23" s="16"/>
      <c r="CN23" s="2"/>
      <c r="CO23" s="105"/>
      <c r="CP23" s="1"/>
      <c r="CQ23" s="18"/>
    </row>
    <row r="24" spans="2:97" x14ac:dyDescent="0.35">
      <c r="D24" s="16"/>
      <c r="E24" s="2"/>
      <c r="F24" s="124"/>
      <c r="G24" s="1"/>
      <c r="H24" s="18"/>
      <c r="N24" s="16"/>
      <c r="O24" s="2"/>
      <c r="P24" s="124"/>
      <c r="Q24" s="1"/>
      <c r="R24" s="18"/>
      <c r="X24" s="16"/>
      <c r="Y24" s="2"/>
      <c r="Z24" s="124"/>
      <c r="AA24" s="1"/>
      <c r="AB24" s="18"/>
      <c r="AH24" s="16"/>
      <c r="AI24" s="2"/>
      <c r="AJ24" s="114"/>
      <c r="AK24" s="1"/>
      <c r="AL24" s="18"/>
      <c r="AR24" s="16"/>
      <c r="AS24" s="2"/>
      <c r="AT24" s="105"/>
      <c r="AU24" s="1"/>
      <c r="AV24" s="18"/>
      <c r="BB24" s="16"/>
      <c r="BC24" s="2"/>
      <c r="BD24" s="105"/>
      <c r="BE24" s="1"/>
      <c r="BF24" s="18"/>
      <c r="BL24" s="16"/>
      <c r="BM24" s="2"/>
      <c r="BN24" s="105"/>
      <c r="BO24" s="1"/>
      <c r="BP24" s="18"/>
      <c r="CC24" s="16"/>
      <c r="CD24" s="2"/>
      <c r="CE24" s="124"/>
      <c r="CF24" s="1"/>
      <c r="CG24" s="18"/>
      <c r="CM24" s="16"/>
      <c r="CN24" s="2"/>
      <c r="CO24" s="105"/>
      <c r="CP24" s="1"/>
      <c r="CQ24" s="18"/>
    </row>
    <row r="25" spans="2:97" x14ac:dyDescent="0.35">
      <c r="B25" t="s">
        <v>49</v>
      </c>
      <c r="D25" s="16"/>
      <c r="E25" s="2"/>
      <c r="F25" s="124"/>
      <c r="G25" s="1"/>
      <c r="H25" s="18"/>
      <c r="I25" t="s">
        <v>61</v>
      </c>
      <c r="N25" s="16"/>
      <c r="O25" s="2"/>
      <c r="P25" s="124"/>
      <c r="Q25" s="1"/>
      <c r="R25" s="18"/>
      <c r="X25" s="16"/>
      <c r="Y25" s="2"/>
      <c r="Z25" s="124"/>
      <c r="AA25" s="1"/>
      <c r="AB25" s="18"/>
      <c r="AH25" s="16"/>
      <c r="AI25" s="2"/>
      <c r="AJ25" s="114"/>
      <c r="AK25" s="1"/>
      <c r="AL25" s="18"/>
      <c r="AR25" s="16"/>
      <c r="AS25" s="2"/>
      <c r="AT25" s="105"/>
      <c r="AU25" s="1"/>
      <c r="AV25" s="18"/>
      <c r="BB25" s="16"/>
      <c r="BC25" s="2"/>
      <c r="BD25" s="105"/>
      <c r="BE25" s="1"/>
      <c r="BF25" s="18"/>
      <c r="BL25" s="16"/>
      <c r="BM25" s="2"/>
      <c r="BN25" s="105"/>
      <c r="BO25" s="1"/>
      <c r="BP25" s="18"/>
      <c r="CC25" s="16"/>
      <c r="CD25" s="2"/>
      <c r="CE25" s="124"/>
      <c r="CF25" s="1"/>
      <c r="CG25" s="18"/>
      <c r="CM25" s="16"/>
      <c r="CN25" s="2"/>
      <c r="CO25" s="105"/>
      <c r="CP25" s="1"/>
      <c r="CQ25" s="18"/>
    </row>
    <row r="26" spans="2:97" x14ac:dyDescent="0.35">
      <c r="C26" s="74" t="s">
        <v>50</v>
      </c>
      <c r="D26" s="16"/>
      <c r="E26" s="90"/>
      <c r="F26" s="124"/>
      <c r="G26" s="93"/>
      <c r="H26" s="18"/>
      <c r="I26" t="s">
        <v>62</v>
      </c>
      <c r="N26" s="16"/>
      <c r="O26" s="90"/>
      <c r="P26" s="124"/>
      <c r="Q26" s="93"/>
      <c r="R26" s="18"/>
      <c r="X26" s="16"/>
      <c r="Y26" s="90"/>
      <c r="Z26" s="124"/>
      <c r="AA26" s="93"/>
      <c r="AB26" s="18"/>
      <c r="AH26" s="16"/>
      <c r="AI26" s="90"/>
      <c r="AJ26" s="114"/>
      <c r="AK26" s="93"/>
      <c r="AL26" s="18"/>
      <c r="AR26" s="16"/>
      <c r="AS26" s="90"/>
      <c r="AT26" s="105"/>
      <c r="AU26" s="93"/>
      <c r="AV26" s="18"/>
      <c r="BB26" s="16"/>
      <c r="BC26" s="90"/>
      <c r="BD26" s="105"/>
      <c r="BE26" s="93"/>
      <c r="BF26" s="18"/>
      <c r="BL26" s="16"/>
      <c r="BM26" s="90"/>
      <c r="BN26" s="105"/>
      <c r="BO26" s="93"/>
      <c r="BP26" s="18"/>
      <c r="CC26" s="16"/>
      <c r="CD26" s="90"/>
      <c r="CE26" s="124"/>
      <c r="CF26" s="93"/>
      <c r="CG26" s="18"/>
      <c r="CM26" s="16"/>
      <c r="CN26" s="90"/>
      <c r="CO26" s="105"/>
      <c r="CP26" s="93"/>
      <c r="CQ26" s="18"/>
    </row>
    <row r="27" spans="2:97" x14ac:dyDescent="0.35">
      <c r="D27" s="16"/>
      <c r="E27" s="90"/>
      <c r="F27" s="124"/>
      <c r="G27" s="93"/>
      <c r="H27" s="18"/>
      <c r="I27" t="s">
        <v>47</v>
      </c>
      <c r="N27" s="16"/>
      <c r="O27" s="90"/>
      <c r="P27" s="124"/>
      <c r="Q27" s="93"/>
      <c r="R27" s="18"/>
      <c r="X27" s="16"/>
      <c r="Y27" s="90"/>
      <c r="Z27" s="124"/>
      <c r="AA27" s="93"/>
      <c r="AB27" s="18"/>
      <c r="AH27" s="16"/>
      <c r="AI27" s="90"/>
      <c r="AJ27" s="114"/>
      <c r="AK27" s="93"/>
      <c r="AL27" s="18"/>
      <c r="AR27" s="16"/>
      <c r="AS27" s="90"/>
      <c r="AT27" s="105"/>
      <c r="AU27" s="93"/>
      <c r="AV27" s="18"/>
      <c r="BB27" s="16"/>
      <c r="BC27" s="90"/>
      <c r="BD27" s="105"/>
      <c r="BE27" s="93"/>
      <c r="BF27" s="18"/>
      <c r="BL27" s="16"/>
      <c r="BM27" s="90"/>
      <c r="BN27" s="105"/>
      <c r="BO27" s="93"/>
      <c r="BP27" s="18"/>
      <c r="CC27" s="16"/>
      <c r="CD27" s="90"/>
      <c r="CE27" s="124"/>
      <c r="CF27" s="93"/>
      <c r="CG27" s="18"/>
      <c r="CM27" s="16"/>
      <c r="CN27" s="90"/>
      <c r="CO27" s="105"/>
      <c r="CP27" s="93"/>
      <c r="CQ27" s="18"/>
    </row>
    <row r="28" spans="2:97" x14ac:dyDescent="0.35">
      <c r="D28" s="16"/>
      <c r="E28" s="90"/>
      <c r="F28" s="124"/>
      <c r="G28" s="93"/>
      <c r="H28" s="18"/>
      <c r="J28" t="s">
        <v>45</v>
      </c>
      <c r="N28" s="16"/>
      <c r="O28" s="90"/>
      <c r="P28" s="124"/>
      <c r="Q28" s="93"/>
      <c r="R28" s="18"/>
      <c r="T28" t="s">
        <v>45</v>
      </c>
      <c r="X28" s="16"/>
      <c r="Y28" s="90"/>
      <c r="Z28" s="124"/>
      <c r="AA28" s="93"/>
      <c r="AB28" s="18"/>
      <c r="AH28" s="16"/>
      <c r="AI28" s="90"/>
      <c r="AJ28" s="114"/>
      <c r="AK28" s="93"/>
      <c r="AL28" s="18"/>
      <c r="AR28" s="16"/>
      <c r="AS28" s="90"/>
      <c r="AT28" s="105"/>
      <c r="AU28" s="93"/>
      <c r="AV28" s="18"/>
      <c r="BB28" s="16"/>
      <c r="BC28" s="90"/>
      <c r="BD28" s="105"/>
      <c r="BE28" s="93"/>
      <c r="BF28" s="18"/>
      <c r="BL28" s="16"/>
      <c r="BM28" s="90"/>
      <c r="BN28" s="105"/>
      <c r="BO28" s="93"/>
      <c r="BP28" s="18"/>
      <c r="CC28" s="16"/>
      <c r="CD28" s="90"/>
      <c r="CE28" s="124"/>
      <c r="CF28" s="93"/>
      <c r="CG28" s="18"/>
      <c r="CM28" s="16"/>
      <c r="CN28" s="90"/>
      <c r="CO28" s="105"/>
      <c r="CP28" s="93"/>
      <c r="CQ28" s="18"/>
    </row>
    <row r="29" spans="2:97" x14ac:dyDescent="0.35">
      <c r="D29" s="64"/>
      <c r="E29" s="91"/>
      <c r="F29" s="125"/>
      <c r="G29" s="91"/>
      <c r="H29" s="71"/>
      <c r="I29" s="71"/>
      <c r="J29" s="71"/>
      <c r="N29" s="64"/>
      <c r="O29" s="91"/>
      <c r="P29" s="125"/>
      <c r="Q29" s="91"/>
      <c r="R29" s="71"/>
      <c r="S29" s="71"/>
      <c r="T29" s="71"/>
      <c r="X29" s="64"/>
      <c r="Y29" s="91"/>
      <c r="Z29" s="125"/>
      <c r="AA29" s="91"/>
      <c r="AB29" s="71"/>
      <c r="AC29" s="71"/>
      <c r="AD29" s="71"/>
      <c r="AH29" s="64"/>
      <c r="AI29" s="91"/>
      <c r="AJ29" s="115"/>
      <c r="AK29" s="91"/>
      <c r="AL29" s="71"/>
      <c r="AM29" s="71"/>
      <c r="AN29" s="71"/>
      <c r="AR29" s="64"/>
      <c r="AS29" s="91"/>
      <c r="AT29" s="120"/>
      <c r="AU29" s="91"/>
      <c r="AV29" s="71"/>
      <c r="AW29" s="71"/>
      <c r="AX29" s="71"/>
      <c r="BB29" s="64"/>
      <c r="BC29" s="91"/>
      <c r="BD29" s="120"/>
      <c r="BE29" s="91"/>
      <c r="BF29" s="71"/>
      <c r="BG29" s="71"/>
      <c r="BH29" s="71"/>
      <c r="BL29" s="64"/>
      <c r="BM29" s="91"/>
      <c r="BN29" s="120"/>
      <c r="BO29" s="91"/>
      <c r="BP29" s="71"/>
      <c r="BQ29" s="71"/>
      <c r="BR29" s="71"/>
      <c r="CC29" s="64"/>
      <c r="CD29" s="91"/>
      <c r="CE29" s="125"/>
      <c r="CF29" s="91"/>
      <c r="CG29" s="71"/>
      <c r="CH29" s="71"/>
      <c r="CI29" s="71"/>
      <c r="CM29" s="64"/>
      <c r="CN29" s="91"/>
      <c r="CO29" s="120"/>
      <c r="CP29" s="91"/>
      <c r="CQ29" s="71"/>
      <c r="CR29" s="71"/>
      <c r="CS29" s="71"/>
    </row>
    <row r="30" spans="2:97" x14ac:dyDescent="0.35">
      <c r="E30" s="26"/>
      <c r="F30" s="125"/>
      <c r="G30" s="25"/>
      <c r="H30" s="71"/>
      <c r="I30" s="71"/>
      <c r="J30" s="71"/>
      <c r="O30" s="26"/>
      <c r="P30" s="125"/>
      <c r="Q30" s="25"/>
      <c r="R30" s="71"/>
      <c r="S30" s="71"/>
      <c r="T30" s="71"/>
      <c r="Y30" s="26"/>
      <c r="Z30" s="125"/>
      <c r="AA30" s="25"/>
      <c r="AB30" s="71"/>
      <c r="AC30" s="71"/>
      <c r="AD30" s="71"/>
      <c r="AI30" s="26"/>
      <c r="AJ30" s="115"/>
      <c r="AK30" s="25"/>
      <c r="AL30" s="71"/>
      <c r="AM30" s="71"/>
      <c r="AN30" s="71"/>
      <c r="AS30" s="26"/>
      <c r="AT30" s="120"/>
      <c r="AU30" s="25"/>
      <c r="AV30" s="71"/>
      <c r="AW30" s="71"/>
      <c r="AX30" s="71"/>
      <c r="BC30" s="26"/>
      <c r="BD30" s="120"/>
      <c r="BE30" s="25"/>
      <c r="BG30" s="71"/>
      <c r="BH30" s="71"/>
      <c r="BM30" s="26"/>
      <c r="BN30" s="120"/>
      <c r="BO30" s="25"/>
      <c r="BP30" t="s">
        <v>37</v>
      </c>
      <c r="BQ30" s="71"/>
      <c r="BR30" s="71"/>
      <c r="CD30" s="26"/>
      <c r="CE30" s="125"/>
      <c r="CF30" s="25"/>
      <c r="CG30" s="71"/>
      <c r="CH30" s="71"/>
      <c r="CI30" s="71"/>
      <c r="CN30" s="26"/>
      <c r="CO30" s="120"/>
      <c r="CP30" s="25"/>
      <c r="CQ30" s="71"/>
      <c r="CR30" s="71"/>
      <c r="CS30" s="71"/>
    </row>
    <row r="31" spans="2:97" x14ac:dyDescent="0.35">
      <c r="E31" s="26"/>
      <c r="F31" s="124" t="s">
        <v>55</v>
      </c>
      <c r="G31" s="25"/>
      <c r="H31" t="s">
        <v>57</v>
      </c>
      <c r="O31" s="26"/>
      <c r="P31" s="124"/>
      <c r="Q31" s="25"/>
      <c r="R31" t="s">
        <v>52</v>
      </c>
      <c r="Y31" s="26"/>
      <c r="Z31" s="124"/>
      <c r="AA31" s="25"/>
      <c r="AI31" s="26"/>
      <c r="AJ31" s="114"/>
      <c r="AK31" s="25"/>
      <c r="AS31" s="26"/>
      <c r="AT31" s="105"/>
      <c r="AU31" s="25"/>
      <c r="BC31" s="26"/>
      <c r="BD31" s="105"/>
      <c r="BE31" s="25"/>
      <c r="BM31" s="26"/>
      <c r="BN31" s="105"/>
      <c r="BO31" s="25"/>
      <c r="BP31" t="s">
        <v>38</v>
      </c>
      <c r="CD31" s="26"/>
      <c r="CE31" s="124"/>
      <c r="CF31" s="25" t="s">
        <v>41</v>
      </c>
      <c r="CN31" s="26"/>
      <c r="CO31" s="105"/>
      <c r="CP31" s="25" t="s">
        <v>42</v>
      </c>
    </row>
    <row r="32" spans="2:97" x14ac:dyDescent="0.35">
      <c r="E32" s="26"/>
      <c r="F32" s="124" t="s">
        <v>56</v>
      </c>
      <c r="G32" s="25"/>
      <c r="H32" s="136" t="s">
        <v>58</v>
      </c>
      <c r="O32" s="26"/>
      <c r="P32" s="124"/>
      <c r="Q32" s="25"/>
      <c r="R32" t="s">
        <v>51</v>
      </c>
      <c r="Y32" s="26"/>
      <c r="Z32" s="124"/>
      <c r="AA32" s="25"/>
      <c r="AI32" s="26"/>
      <c r="AJ32" s="114"/>
      <c r="AK32" s="25"/>
      <c r="AS32" s="26"/>
      <c r="AT32" s="105"/>
      <c r="AU32" s="25"/>
      <c r="BC32" s="26"/>
      <c r="BD32" s="105"/>
      <c r="BE32" s="25"/>
      <c r="BM32" s="26"/>
      <c r="BN32" s="105"/>
      <c r="BO32" s="25"/>
      <c r="BP32" t="s">
        <v>35</v>
      </c>
      <c r="CD32" s="26"/>
      <c r="CE32" s="124"/>
      <c r="CF32" s="25"/>
      <c r="CN32" s="26"/>
      <c r="CO32" s="105"/>
      <c r="CP32" s="25"/>
    </row>
    <row r="33" spans="2:97" x14ac:dyDescent="0.35">
      <c r="E33" s="26"/>
      <c r="F33" s="124"/>
      <c r="G33" s="25"/>
      <c r="H33" s="292"/>
      <c r="I33" s="292"/>
      <c r="J33" s="292"/>
      <c r="O33" s="26"/>
      <c r="P33" s="124"/>
      <c r="Q33" s="25"/>
      <c r="R33" s="292"/>
      <c r="S33" s="292"/>
      <c r="T33" s="292"/>
      <c r="Y33" s="26"/>
      <c r="Z33" s="124"/>
      <c r="AA33" s="25"/>
      <c r="AB33" s="292"/>
      <c r="AC33" s="292"/>
      <c r="AD33" s="292"/>
      <c r="AI33" s="26"/>
      <c r="AJ33" s="114"/>
      <c r="AK33" s="25"/>
      <c r="AL33" s="292"/>
      <c r="AM33" s="292"/>
      <c r="AN33" s="292"/>
      <c r="AS33" s="26"/>
      <c r="AT33" s="105"/>
      <c r="AU33" s="25"/>
      <c r="AV33" s="292"/>
      <c r="AW33" s="292"/>
      <c r="AX33" s="292"/>
      <c r="BC33" s="26"/>
      <c r="BD33" s="122"/>
      <c r="BE33" s="25"/>
      <c r="BF33" s="85" t="s">
        <v>39</v>
      </c>
      <c r="BG33" s="85"/>
      <c r="BH33" s="85"/>
      <c r="BM33" s="26"/>
      <c r="BN33" s="122"/>
      <c r="BO33" s="25"/>
      <c r="BP33" s="292"/>
      <c r="BQ33" s="292"/>
      <c r="BR33" s="292"/>
      <c r="CD33" s="26"/>
      <c r="CE33" s="124"/>
      <c r="CF33" s="25"/>
      <c r="CG33" s="292"/>
      <c r="CH33" s="292"/>
      <c r="CI33" s="292"/>
      <c r="CN33" s="26"/>
      <c r="CO33" s="105"/>
      <c r="CP33" s="25"/>
      <c r="CQ33" s="292"/>
      <c r="CR33" s="292"/>
      <c r="CS33" s="292"/>
    </row>
    <row r="34" spans="2:97" x14ac:dyDescent="0.35">
      <c r="E34" s="26"/>
      <c r="F34" s="124"/>
      <c r="G34" s="25"/>
      <c r="H34" s="292"/>
      <c r="I34" s="292"/>
      <c r="J34" s="292"/>
      <c r="O34" s="26"/>
      <c r="P34" s="124"/>
      <c r="Q34" s="25"/>
      <c r="R34" s="292"/>
      <c r="S34" s="292"/>
      <c r="T34" s="292"/>
      <c r="Y34" s="26"/>
      <c r="Z34" s="124"/>
      <c r="AA34" s="25"/>
      <c r="AB34" s="292"/>
      <c r="AC34" s="292"/>
      <c r="AD34" s="292"/>
      <c r="AI34" s="26"/>
      <c r="AJ34" s="114"/>
      <c r="AK34" s="25"/>
      <c r="AL34" s="292"/>
      <c r="AM34" s="292"/>
      <c r="AN34" s="292"/>
      <c r="AS34" s="26"/>
      <c r="AT34" s="105"/>
      <c r="AU34" s="25"/>
      <c r="AV34" s="292"/>
      <c r="AW34" s="292"/>
      <c r="AX34" s="292"/>
      <c r="BC34" s="26"/>
      <c r="BD34" s="105"/>
      <c r="BE34" s="25"/>
      <c r="BF34" s="85"/>
      <c r="BG34" s="85"/>
      <c r="BH34" s="85"/>
      <c r="BM34" s="26"/>
      <c r="BN34" s="105"/>
      <c r="BO34" s="25"/>
      <c r="BP34" s="292"/>
      <c r="BQ34" s="292"/>
      <c r="BR34" s="292"/>
      <c r="CD34" s="26"/>
      <c r="CE34" s="124"/>
      <c r="CF34" s="25"/>
      <c r="CG34" s="292"/>
      <c r="CH34" s="292"/>
      <c r="CI34" s="292"/>
      <c r="CN34" s="26"/>
      <c r="CO34" s="105"/>
      <c r="CP34" s="25"/>
      <c r="CQ34" s="292"/>
      <c r="CR34" s="292"/>
      <c r="CS34" s="292"/>
    </row>
    <row r="35" spans="2:97" x14ac:dyDescent="0.35">
      <c r="B35" s="58"/>
      <c r="C35" s="58"/>
      <c r="D35" s="58"/>
      <c r="E35" s="26"/>
      <c r="F35" s="124"/>
      <c r="G35" s="25"/>
      <c r="H35" s="58"/>
      <c r="I35" s="58"/>
      <c r="J35" s="58"/>
      <c r="L35" s="58"/>
      <c r="M35" s="58"/>
      <c r="N35" s="58"/>
      <c r="O35" s="92"/>
      <c r="P35" s="124"/>
      <c r="Q35" s="94"/>
      <c r="R35" s="58"/>
      <c r="S35" s="58"/>
      <c r="T35" s="58"/>
      <c r="V35" s="58"/>
      <c r="W35" s="58"/>
      <c r="X35" s="58"/>
      <c r="Y35" s="92"/>
      <c r="Z35" s="124"/>
      <c r="AA35" s="94"/>
      <c r="AB35" s="58"/>
      <c r="AC35" s="58"/>
      <c r="AD35" s="58"/>
      <c r="AF35" s="58"/>
      <c r="AG35" s="58"/>
      <c r="AH35" s="58"/>
      <c r="AI35" s="92"/>
      <c r="AJ35" s="114"/>
      <c r="AK35" s="94"/>
      <c r="AL35" s="58"/>
      <c r="AM35" s="58"/>
      <c r="AN35" s="58"/>
      <c r="AP35" s="58"/>
      <c r="AQ35" s="58"/>
      <c r="AR35" s="58"/>
      <c r="AS35" s="92"/>
      <c r="AT35" s="121" t="s">
        <v>31</v>
      </c>
      <c r="AU35" s="94"/>
      <c r="AV35" s="58"/>
      <c r="AW35" s="58"/>
      <c r="AX35" s="58"/>
      <c r="AZ35" s="58"/>
      <c r="BA35" s="58"/>
      <c r="BB35" s="58"/>
      <c r="BC35" s="92"/>
      <c r="BD35" s="121"/>
      <c r="BE35" s="94"/>
      <c r="BF35" s="58"/>
      <c r="BG35" s="58"/>
      <c r="BH35" s="58"/>
      <c r="BJ35" s="58"/>
      <c r="BK35" s="58"/>
      <c r="BL35" s="58"/>
      <c r="BM35" s="92"/>
      <c r="BN35" s="121"/>
      <c r="BO35" s="94"/>
      <c r="BP35" s="58"/>
      <c r="BQ35" s="58"/>
      <c r="BR35" s="58"/>
      <c r="CA35" s="58"/>
      <c r="CB35" s="58"/>
      <c r="CC35" s="58"/>
      <c r="CD35" s="92"/>
      <c r="CE35" s="124"/>
      <c r="CF35" s="94"/>
      <c r="CG35" s="58"/>
      <c r="CH35" s="58"/>
      <c r="CI35" s="58"/>
      <c r="CK35" s="58"/>
      <c r="CL35" s="58"/>
      <c r="CM35" s="58"/>
      <c r="CN35" s="92"/>
      <c r="CO35" s="105"/>
      <c r="CP35" s="94"/>
      <c r="CQ35" s="58"/>
      <c r="CR35" s="58"/>
      <c r="CS35" s="58"/>
    </row>
    <row r="36" spans="2:97" x14ac:dyDescent="0.35">
      <c r="B36" s="58"/>
      <c r="C36" s="58"/>
      <c r="D36" s="58"/>
      <c r="E36" s="26"/>
      <c r="F36" s="124"/>
      <c r="G36" s="25"/>
      <c r="H36" s="58"/>
      <c r="I36" s="58"/>
      <c r="J36" s="58"/>
      <c r="L36" s="58"/>
      <c r="M36" s="58"/>
      <c r="N36" s="58"/>
      <c r="O36" s="92"/>
      <c r="P36" s="124"/>
      <c r="Q36" s="94"/>
      <c r="R36" s="58"/>
      <c r="S36" s="58"/>
      <c r="T36" s="58"/>
      <c r="V36" s="58"/>
      <c r="W36" s="58"/>
      <c r="X36" s="58"/>
      <c r="Y36" s="92"/>
      <c r="Z36" s="124"/>
      <c r="AA36" s="94"/>
      <c r="AB36" s="58"/>
      <c r="AC36" s="58"/>
      <c r="AD36" s="58"/>
      <c r="AF36" s="58"/>
      <c r="AG36" s="58"/>
      <c r="AH36" s="58"/>
      <c r="AI36" s="92"/>
      <c r="AJ36" s="114"/>
      <c r="AK36" s="94"/>
      <c r="AL36" s="58"/>
      <c r="AM36" s="58"/>
      <c r="AN36" s="58"/>
      <c r="AP36" s="58"/>
      <c r="AQ36" s="58"/>
      <c r="AR36" s="58"/>
      <c r="AS36" s="92"/>
      <c r="AT36" s="121" t="s">
        <v>32</v>
      </c>
      <c r="AU36" s="94"/>
      <c r="AV36" s="58"/>
      <c r="AW36" s="58"/>
      <c r="AX36" s="58"/>
      <c r="AZ36" s="58"/>
      <c r="BA36" s="58"/>
      <c r="BB36" s="58"/>
      <c r="BC36" s="92"/>
      <c r="BD36" s="121"/>
      <c r="BE36" s="94"/>
      <c r="BF36" s="58"/>
      <c r="BG36" s="58"/>
      <c r="BH36" s="58"/>
      <c r="BJ36" s="58"/>
      <c r="BK36" s="58"/>
      <c r="BL36" s="58"/>
      <c r="BM36" s="92"/>
      <c r="BN36" s="121"/>
      <c r="BO36" s="94"/>
      <c r="BP36" s="58"/>
      <c r="BQ36" s="58"/>
      <c r="BR36" s="58"/>
      <c r="CA36" s="58"/>
      <c r="CB36" s="58"/>
      <c r="CC36" s="58"/>
      <c r="CD36" s="92"/>
      <c r="CE36" s="124"/>
      <c r="CF36" s="94"/>
      <c r="CG36" s="58"/>
      <c r="CH36" s="58"/>
      <c r="CI36" s="58"/>
      <c r="CK36" s="58"/>
      <c r="CL36" s="58"/>
      <c r="CM36" s="58"/>
      <c r="CN36" s="92"/>
      <c r="CO36" s="105"/>
      <c r="CP36" s="94"/>
      <c r="CQ36" s="58"/>
      <c r="CR36" s="58"/>
      <c r="CS36" s="58"/>
    </row>
    <row r="37" spans="2:97" x14ac:dyDescent="0.35">
      <c r="E37" s="26"/>
      <c r="F37" s="124"/>
      <c r="G37" s="25"/>
      <c r="H37" s="85"/>
      <c r="I37" s="85"/>
      <c r="J37" s="85"/>
      <c r="O37" s="26"/>
      <c r="P37" s="124"/>
      <c r="Q37" s="25"/>
      <c r="T37" s="85"/>
      <c r="Y37" s="26"/>
      <c r="Z37" s="124"/>
      <c r="AA37" s="25"/>
      <c r="AB37" s="292"/>
      <c r="AC37" s="292"/>
      <c r="AD37" s="292"/>
      <c r="AI37" s="26"/>
      <c r="AJ37" s="114"/>
      <c r="AK37" s="25"/>
      <c r="AL37" s="292"/>
      <c r="AM37" s="292"/>
      <c r="AN37" s="292"/>
      <c r="AS37" s="26"/>
      <c r="AT37" s="105"/>
      <c r="AU37" s="25"/>
      <c r="AV37" s="292"/>
      <c r="AW37" s="292"/>
      <c r="AX37" s="292"/>
      <c r="BC37" s="26"/>
      <c r="BD37" s="105"/>
      <c r="BE37" s="25"/>
      <c r="BF37" s="292"/>
      <c r="BG37" s="292"/>
      <c r="BH37" s="292"/>
      <c r="BM37" s="26"/>
      <c r="BN37" s="105"/>
      <c r="BO37" s="25"/>
      <c r="BP37" s="292"/>
      <c r="BQ37" s="292"/>
      <c r="BR37" s="292"/>
      <c r="CD37" s="26"/>
      <c r="CE37" s="124"/>
      <c r="CF37" s="25"/>
      <c r="CG37" s="292"/>
      <c r="CH37" s="292"/>
      <c r="CI37" s="292"/>
      <c r="CN37" s="26"/>
      <c r="CO37" s="105"/>
      <c r="CP37" s="25"/>
      <c r="CQ37" s="292"/>
      <c r="CR37" s="292"/>
      <c r="CS37" s="292"/>
    </row>
    <row r="38" spans="2:97" x14ac:dyDescent="0.35">
      <c r="D38" s="74" t="s">
        <v>48</v>
      </c>
      <c r="E38" s="131"/>
      <c r="F38" s="124"/>
      <c r="G38" s="132"/>
      <c r="H38" s="85" t="s">
        <v>46</v>
      </c>
      <c r="I38" s="85"/>
      <c r="J38" s="85"/>
      <c r="O38" s="131"/>
      <c r="P38" s="124"/>
      <c r="Q38" s="132"/>
      <c r="R38" s="85"/>
      <c r="S38" s="85"/>
      <c r="T38" s="85"/>
      <c r="Y38" s="26"/>
      <c r="Z38" s="124"/>
      <c r="AA38" s="25"/>
      <c r="AB38" s="292"/>
      <c r="AC38" s="292"/>
      <c r="AD38" s="292"/>
      <c r="AI38" s="26"/>
      <c r="AJ38" s="114"/>
      <c r="AK38" s="25"/>
      <c r="AL38" s="292"/>
      <c r="AM38" s="292"/>
      <c r="AN38" s="292"/>
      <c r="AS38" s="26"/>
      <c r="AT38" s="105"/>
      <c r="AU38" s="25"/>
      <c r="AV38" s="292"/>
      <c r="AW38" s="292"/>
      <c r="AX38" s="292"/>
      <c r="BC38" s="26"/>
      <c r="BD38" s="105"/>
      <c r="BE38" s="25"/>
      <c r="BF38" s="292"/>
      <c r="BG38" s="292"/>
      <c r="BH38" s="292"/>
      <c r="BM38" s="26"/>
      <c r="BN38" s="105"/>
      <c r="BO38" s="25"/>
      <c r="BP38" s="292"/>
      <c r="BQ38" s="292"/>
      <c r="BR38" s="292"/>
      <c r="CD38" s="26"/>
      <c r="CE38" s="124"/>
      <c r="CF38" s="25"/>
      <c r="CG38" s="292"/>
      <c r="CH38" s="292"/>
      <c r="CI38" s="292"/>
      <c r="CN38" s="26"/>
      <c r="CO38" s="105"/>
      <c r="CP38" s="25"/>
      <c r="CQ38" s="292"/>
      <c r="CR38" s="292"/>
      <c r="CS38" s="292"/>
    </row>
    <row r="39" spans="2:97" x14ac:dyDescent="0.35">
      <c r="E39" s="131"/>
      <c r="F39" s="124"/>
      <c r="G39" s="132"/>
      <c r="H39" t="s">
        <v>47</v>
      </c>
      <c r="O39" s="131"/>
      <c r="P39" s="124"/>
      <c r="Q39" s="132"/>
      <c r="Y39" s="26"/>
      <c r="Z39" s="124"/>
      <c r="AA39" s="25"/>
      <c r="AI39" s="26"/>
      <c r="AJ39" s="114"/>
      <c r="AK39" s="25"/>
      <c r="AS39" s="26"/>
      <c r="AT39" s="105"/>
      <c r="AU39" s="25"/>
      <c r="BC39" s="26"/>
      <c r="BD39" s="105"/>
      <c r="BE39" s="25"/>
      <c r="BM39" s="26"/>
      <c r="BN39" s="105"/>
      <c r="BO39" s="25"/>
      <c r="CD39" s="26"/>
      <c r="CE39" s="124"/>
      <c r="CF39" s="25"/>
      <c r="CN39" s="26"/>
      <c r="CO39" s="105"/>
      <c r="CP39" s="25"/>
    </row>
    <row r="40" spans="2:97" x14ac:dyDescent="0.35">
      <c r="E40" s="132"/>
      <c r="F40" s="133" t="s">
        <v>1</v>
      </c>
      <c r="G40" s="132"/>
      <c r="O40" s="132"/>
      <c r="P40" s="133" t="s">
        <v>1</v>
      </c>
      <c r="Q40" s="132"/>
      <c r="Y40" s="25"/>
      <c r="Z40" s="126"/>
      <c r="AA40" s="25"/>
      <c r="AI40" s="25"/>
      <c r="AJ40" s="116"/>
      <c r="AK40" s="25"/>
      <c r="AS40" s="25"/>
      <c r="AT40" s="111" t="s">
        <v>1</v>
      </c>
      <c r="AU40" s="25"/>
      <c r="BC40" s="25"/>
      <c r="BD40" s="111" t="s">
        <v>1</v>
      </c>
      <c r="BE40" s="25"/>
      <c r="BM40" s="25"/>
      <c r="BN40" s="111" t="s">
        <v>1</v>
      </c>
      <c r="BO40" s="25"/>
      <c r="CD40" s="25"/>
      <c r="CE40" s="111" t="s">
        <v>1</v>
      </c>
      <c r="CF40" s="25"/>
      <c r="CN40" s="25"/>
      <c r="CO40" s="111" t="s">
        <v>1</v>
      </c>
      <c r="CP40" s="25"/>
    </row>
    <row r="41" spans="2:97" ht="15" thickBot="1" x14ac:dyDescent="0.4">
      <c r="D41" s="74" t="s">
        <v>44</v>
      </c>
      <c r="E41" s="132"/>
      <c r="F41" s="134" t="s">
        <v>1</v>
      </c>
      <c r="G41" s="132"/>
      <c r="H41" t="s">
        <v>59</v>
      </c>
      <c r="O41" s="132"/>
      <c r="P41" s="134" t="s">
        <v>1</v>
      </c>
      <c r="Q41" s="132"/>
      <c r="Y41" s="25"/>
      <c r="Z41" s="126"/>
      <c r="AA41" s="25"/>
      <c r="AI41" s="25"/>
      <c r="AJ41" s="116"/>
      <c r="AK41" s="25"/>
      <c r="AS41" s="25"/>
      <c r="AT41" s="112" t="s">
        <v>1</v>
      </c>
      <c r="AU41" s="25"/>
      <c r="BC41" s="25"/>
      <c r="BD41" s="112" t="s">
        <v>1</v>
      </c>
      <c r="BE41" s="25"/>
      <c r="BM41" s="25"/>
      <c r="BN41" s="112" t="s">
        <v>1</v>
      </c>
      <c r="BO41" s="25"/>
      <c r="CD41" s="25"/>
      <c r="CE41" s="112" t="s">
        <v>1</v>
      </c>
      <c r="CF41" s="25"/>
      <c r="CN41" s="25"/>
      <c r="CO41" s="112" t="s">
        <v>1</v>
      </c>
      <c r="CP41" s="25"/>
    </row>
    <row r="42" spans="2:97" ht="16" thickTop="1" x14ac:dyDescent="0.35">
      <c r="E42" s="132"/>
      <c r="F42" s="132"/>
      <c r="G42" s="132"/>
      <c r="H42" s="136" t="s">
        <v>60</v>
      </c>
      <c r="O42" s="132"/>
      <c r="P42" s="132"/>
      <c r="Q42" s="132"/>
      <c r="Y42" s="25"/>
      <c r="Z42" s="129" t="s">
        <v>27</v>
      </c>
      <c r="AA42" s="25"/>
      <c r="AI42" s="25"/>
      <c r="AJ42" s="117"/>
      <c r="AK42" s="25"/>
      <c r="AS42" s="25"/>
      <c r="AT42" s="25"/>
      <c r="AU42" s="25"/>
      <c r="BC42" s="25"/>
      <c r="BD42" s="25"/>
      <c r="BE42" s="25"/>
      <c r="BM42" s="25"/>
      <c r="BN42" s="25"/>
      <c r="BO42" s="25"/>
      <c r="CD42" s="25"/>
      <c r="CE42" s="25"/>
      <c r="CF42" s="25"/>
      <c r="CN42" s="25"/>
      <c r="CO42" s="25"/>
      <c r="CP42" s="25"/>
    </row>
    <row r="43" spans="2:97" ht="15.5" x14ac:dyDescent="0.35">
      <c r="Z43" s="129" t="s">
        <v>25</v>
      </c>
      <c r="AJ43" s="117"/>
    </row>
    <row r="44" spans="2:97" ht="15.5" x14ac:dyDescent="0.35">
      <c r="Z44" s="130" t="s">
        <v>26</v>
      </c>
      <c r="AJ44" s="117"/>
    </row>
    <row r="45" spans="2:97" x14ac:dyDescent="0.35">
      <c r="AJ45" s="117"/>
    </row>
    <row r="46" spans="2:97" x14ac:dyDescent="0.35">
      <c r="AJ46" s="117"/>
    </row>
    <row r="47" spans="2:97" x14ac:dyDescent="0.35">
      <c r="AJ47" s="117"/>
    </row>
    <row r="48" spans="2:97" x14ac:dyDescent="0.35">
      <c r="AJ48" s="117"/>
    </row>
    <row r="49" spans="32:40" x14ac:dyDescent="0.35">
      <c r="AF49" s="58"/>
      <c r="AG49" s="58"/>
      <c r="AH49" s="58"/>
      <c r="AI49" s="58"/>
      <c r="AJ49" s="118"/>
      <c r="AK49" s="58"/>
      <c r="AL49" s="58"/>
      <c r="AM49" s="58"/>
      <c r="AN49" s="58"/>
    </row>
  </sheetData>
  <mergeCells count="26">
    <mergeCell ref="CG33:CI34"/>
    <mergeCell ref="CG37:CI38"/>
    <mergeCell ref="CO16:CO17"/>
    <mergeCell ref="CQ33:CS34"/>
    <mergeCell ref="CQ37:CS38"/>
    <mergeCell ref="CE16:CE17"/>
    <mergeCell ref="K16:L16"/>
    <mergeCell ref="BN16:BN17"/>
    <mergeCell ref="BP33:BR34"/>
    <mergeCell ref="BP37:BR38"/>
    <mergeCell ref="F16:F17"/>
    <mergeCell ref="H33:J34"/>
    <mergeCell ref="BD16:BD17"/>
    <mergeCell ref="BF37:BH38"/>
    <mergeCell ref="AJ16:AJ17"/>
    <mergeCell ref="AL33:AN34"/>
    <mergeCell ref="AL37:AN38"/>
    <mergeCell ref="AT16:AT17"/>
    <mergeCell ref="AV33:AX34"/>
    <mergeCell ref="AV37:AX38"/>
    <mergeCell ref="P16:P17"/>
    <mergeCell ref="R33:T34"/>
    <mergeCell ref="Z16:Z17"/>
    <mergeCell ref="AB33:AD34"/>
    <mergeCell ref="AB37:AD38"/>
    <mergeCell ref="K17:M17"/>
  </mergeCells>
  <pageMargins left="0.7" right="0.7" top="0.75" bottom="0.75" header="0.3" footer="0.3"/>
  <pageSetup paperSize="9" orientation="portrait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FV49"/>
  <sheetViews>
    <sheetView showGridLines="0" topLeftCell="CS1" zoomScale="78" zoomScaleNormal="78" workbookViewId="0">
      <selection activeCell="EQ2" sqref="EQ2"/>
    </sheetView>
  </sheetViews>
  <sheetFormatPr defaultRowHeight="14.5" x14ac:dyDescent="0.35"/>
  <cols>
    <col min="2" max="2" width="3.81640625" customWidth="1"/>
    <col min="3" max="3" width="1.1796875" customWidth="1"/>
    <col min="4" max="4" width="1.81640625" customWidth="1"/>
    <col min="5" max="5" width="2" customWidth="1"/>
    <col min="6" max="6" width="9.453125" customWidth="1"/>
    <col min="7" max="8" width="2" customWidth="1"/>
    <col min="9" max="9" width="1.1796875" customWidth="1"/>
    <col min="10" max="10" width="3.81640625" customWidth="1"/>
    <col min="19" max="19" width="11.36328125" bestFit="1" customWidth="1"/>
    <col min="20" max="20" width="9.36328125" bestFit="1" customWidth="1"/>
    <col min="28" max="28" width="3.81640625" customWidth="1"/>
    <col min="29" max="29" width="1.1796875" customWidth="1"/>
    <col min="30" max="30" width="1.81640625" customWidth="1"/>
    <col min="31" max="31" width="2" customWidth="1"/>
    <col min="32" max="32" width="9.453125" customWidth="1"/>
    <col min="33" max="34" width="2" customWidth="1"/>
    <col min="35" max="35" width="1.1796875" customWidth="1"/>
    <col min="36" max="36" width="3.81640625" customWidth="1"/>
    <col min="43" max="43" width="10" bestFit="1" customWidth="1"/>
    <col min="50" max="50" width="3.81640625" customWidth="1"/>
    <col min="51" max="51" width="1.1796875" customWidth="1"/>
    <col min="52" max="52" width="1.81640625" customWidth="1"/>
    <col min="53" max="53" width="2" customWidth="1"/>
    <col min="54" max="54" width="9.453125" customWidth="1"/>
    <col min="55" max="56" width="2" customWidth="1"/>
    <col min="57" max="57" width="1.1796875" customWidth="1"/>
    <col min="58" max="58" width="3.81640625" customWidth="1"/>
    <col min="73" max="73" width="3.81640625" customWidth="1"/>
    <col min="74" max="74" width="1.1796875" customWidth="1"/>
    <col min="75" max="75" width="1.81640625" customWidth="1"/>
    <col min="76" max="76" width="2" customWidth="1"/>
    <col min="77" max="77" width="9.453125" customWidth="1"/>
    <col min="78" max="79" width="2" customWidth="1"/>
    <col min="80" max="80" width="1.1796875" customWidth="1"/>
    <col min="81" max="81" width="3.81640625" customWidth="1"/>
    <col min="83" max="83" width="3.81640625" customWidth="1"/>
    <col min="84" max="84" width="1.1796875" customWidth="1"/>
    <col min="85" max="85" width="1.81640625" customWidth="1"/>
    <col min="86" max="86" width="2" customWidth="1"/>
    <col min="87" max="87" width="9.453125" customWidth="1"/>
    <col min="88" max="89" width="2" customWidth="1"/>
    <col min="90" max="90" width="1.1796875" customWidth="1"/>
    <col min="91" max="91" width="3.81640625" customWidth="1"/>
    <col min="93" max="93" width="3.81640625" customWidth="1"/>
    <col min="94" max="94" width="1.1796875" customWidth="1"/>
    <col min="95" max="95" width="1.81640625" customWidth="1"/>
    <col min="96" max="96" width="2" customWidth="1"/>
    <col min="97" max="97" width="9.453125" customWidth="1"/>
    <col min="98" max="99" width="2" customWidth="1"/>
    <col min="100" max="100" width="1.1796875" customWidth="1"/>
    <col min="101" max="101" width="3.81640625" customWidth="1"/>
    <col min="103" max="103" width="3.81640625" customWidth="1"/>
    <col min="104" max="104" width="1.1796875" customWidth="1"/>
    <col min="105" max="105" width="1.81640625" customWidth="1"/>
    <col min="106" max="106" width="2" customWidth="1"/>
    <col min="107" max="107" width="9.453125" customWidth="1"/>
    <col min="108" max="109" width="2" customWidth="1"/>
    <col min="110" max="110" width="1.1796875" customWidth="1"/>
    <col min="111" max="111" width="3.81640625" customWidth="1"/>
    <col min="113" max="113" width="3.81640625" customWidth="1"/>
    <col min="114" max="114" width="1.1796875" customWidth="1"/>
    <col min="115" max="115" width="1.81640625" customWidth="1"/>
    <col min="116" max="116" width="2" customWidth="1"/>
    <col min="117" max="117" width="9.453125" customWidth="1"/>
    <col min="118" max="119" width="2" customWidth="1"/>
    <col min="120" max="120" width="1.1796875" customWidth="1"/>
    <col min="121" max="121" width="3.81640625" customWidth="1"/>
    <col min="123" max="123" width="3.81640625" customWidth="1"/>
    <col min="124" max="124" width="1.1796875" customWidth="1"/>
    <col min="125" max="125" width="1.81640625" customWidth="1"/>
    <col min="126" max="126" width="2" customWidth="1"/>
    <col min="127" max="127" width="9.453125" customWidth="1"/>
    <col min="128" max="129" width="2" customWidth="1"/>
    <col min="130" max="130" width="1.1796875" customWidth="1"/>
    <col min="131" max="131" width="3.81640625" customWidth="1"/>
    <col min="133" max="133" width="3.81640625" customWidth="1"/>
    <col min="134" max="134" width="1.1796875" customWidth="1"/>
    <col min="135" max="135" width="1.81640625" customWidth="1"/>
    <col min="136" max="136" width="2" customWidth="1"/>
    <col min="137" max="137" width="9.453125" customWidth="1"/>
    <col min="138" max="139" width="2" customWidth="1"/>
    <col min="140" max="140" width="1.1796875" customWidth="1"/>
    <col min="141" max="141" width="3.81640625" customWidth="1"/>
    <col min="143" max="143" width="3.81640625" customWidth="1"/>
    <col min="144" max="144" width="1.1796875" customWidth="1"/>
    <col min="145" max="145" width="1.81640625" customWidth="1"/>
    <col min="146" max="146" width="2" customWidth="1"/>
    <col min="147" max="147" width="9.453125" customWidth="1"/>
    <col min="148" max="149" width="2" customWidth="1"/>
    <col min="150" max="150" width="1.1796875" customWidth="1"/>
    <col min="151" max="151" width="3.81640625" customWidth="1"/>
    <col min="160" max="160" width="3.81640625" customWidth="1"/>
    <col min="161" max="161" width="1.1796875" customWidth="1"/>
    <col min="162" max="162" width="1.81640625" customWidth="1"/>
    <col min="163" max="163" width="2" customWidth="1"/>
    <col min="164" max="164" width="9.453125" customWidth="1"/>
    <col min="165" max="166" width="2" customWidth="1"/>
    <col min="167" max="167" width="1.1796875" customWidth="1"/>
    <col min="168" max="168" width="3.81640625" customWidth="1"/>
    <col min="170" max="170" width="3.81640625" customWidth="1"/>
    <col min="171" max="171" width="1.1796875" customWidth="1"/>
    <col min="172" max="172" width="1.81640625" customWidth="1"/>
    <col min="173" max="173" width="2" customWidth="1"/>
    <col min="174" max="174" width="9.453125" customWidth="1"/>
    <col min="175" max="176" width="2" customWidth="1"/>
    <col min="177" max="177" width="1.1796875" customWidth="1"/>
    <col min="178" max="178" width="3.81640625" customWidth="1"/>
  </cols>
  <sheetData>
    <row r="1" spans="4:176" ht="18.5" x14ac:dyDescent="0.45">
      <c r="F1" s="128"/>
      <c r="AF1" s="128"/>
      <c r="BB1" s="128"/>
      <c r="CI1" s="128" t="s">
        <v>87</v>
      </c>
      <c r="EG1" s="128" t="s">
        <v>101</v>
      </c>
      <c r="FH1" s="128"/>
      <c r="FR1" s="128"/>
    </row>
    <row r="2" spans="4:176" s="127" customFormat="1" ht="18.5" x14ac:dyDescent="0.45">
      <c r="F2" s="128" t="s">
        <v>36</v>
      </c>
      <c r="AF2" s="128" t="s">
        <v>36</v>
      </c>
      <c r="BB2" s="128" t="s">
        <v>28</v>
      </c>
      <c r="BY2" s="128" t="s">
        <v>95</v>
      </c>
      <c r="CI2" s="128" t="s">
        <v>89</v>
      </c>
      <c r="CS2" s="128" t="s">
        <v>30</v>
      </c>
      <c r="DC2" s="128" t="s">
        <v>33</v>
      </c>
      <c r="DM2" s="128" t="s">
        <v>40</v>
      </c>
      <c r="DW2" s="128" t="s">
        <v>88</v>
      </c>
      <c r="EG2" s="128" t="s">
        <v>102</v>
      </c>
      <c r="EQ2" s="128" t="s">
        <v>34</v>
      </c>
      <c r="FH2" s="128" t="s">
        <v>28</v>
      </c>
      <c r="FR2" s="128" t="s">
        <v>28</v>
      </c>
    </row>
    <row r="3" spans="4:176" ht="18.5" x14ac:dyDescent="0.45">
      <c r="F3" s="128" t="s">
        <v>99</v>
      </c>
      <c r="AF3" s="128" t="s">
        <v>43</v>
      </c>
    </row>
    <row r="5" spans="4:176" x14ac:dyDescent="0.35">
      <c r="E5" s="15"/>
      <c r="F5" s="15"/>
      <c r="G5" s="15"/>
      <c r="AE5" s="15"/>
      <c r="AF5" s="15"/>
      <c r="AG5" s="15"/>
      <c r="BA5" s="15"/>
      <c r="BB5" s="15"/>
      <c r="BC5" s="15"/>
      <c r="BX5" s="15"/>
      <c r="BY5" s="15"/>
      <c r="BZ5" s="15"/>
      <c r="CH5" s="15"/>
      <c r="CI5" s="15"/>
      <c r="CJ5" s="15"/>
      <c r="CR5" s="15"/>
      <c r="CS5" s="15"/>
      <c r="CT5" s="15"/>
      <c r="DB5" s="15"/>
      <c r="DC5" s="15"/>
      <c r="DD5" s="15"/>
      <c r="DL5" s="15"/>
      <c r="DM5" s="15"/>
      <c r="DN5" s="15"/>
      <c r="DV5" s="15"/>
      <c r="DW5" s="15"/>
      <c r="DX5" s="15"/>
      <c r="EF5" s="15"/>
      <c r="EG5" s="15"/>
      <c r="EH5" s="15"/>
      <c r="EP5" s="15"/>
      <c r="EQ5" s="15"/>
      <c r="ER5" s="15"/>
      <c r="FG5" s="15"/>
      <c r="FH5" s="15"/>
      <c r="FI5" s="15"/>
      <c r="FQ5" s="15"/>
      <c r="FR5" s="15"/>
      <c r="FS5" s="15"/>
    </row>
    <row r="6" spans="4:176" x14ac:dyDescent="0.35">
      <c r="E6" s="15"/>
      <c r="F6" s="15"/>
      <c r="G6" s="15"/>
      <c r="AE6" s="15"/>
      <c r="AF6" s="15"/>
      <c r="AG6" s="15"/>
      <c r="BA6" s="15"/>
      <c r="BB6" s="15"/>
      <c r="BC6" s="15"/>
      <c r="BX6" s="15"/>
      <c r="BY6" s="15"/>
      <c r="BZ6" s="15"/>
      <c r="CH6" s="15"/>
      <c r="CI6" s="15"/>
      <c r="CJ6" s="15"/>
      <c r="CR6" s="15"/>
      <c r="CS6" s="15"/>
      <c r="CT6" s="15"/>
      <c r="DB6" s="15"/>
      <c r="DC6" s="15"/>
      <c r="DD6" s="15"/>
      <c r="DL6" s="15"/>
      <c r="DM6" s="15"/>
      <c r="DN6" s="15"/>
      <c r="DV6" s="15"/>
      <c r="DW6" s="15"/>
      <c r="DX6" s="15"/>
      <c r="EF6" s="15"/>
      <c r="EG6" s="15"/>
      <c r="EH6" s="15"/>
      <c r="EP6" s="15"/>
      <c r="EQ6" s="15"/>
      <c r="ER6" s="15"/>
      <c r="FG6" s="15"/>
      <c r="FH6" s="15"/>
      <c r="FI6" s="15"/>
      <c r="FQ6" s="15"/>
      <c r="FR6" s="15"/>
      <c r="FS6" s="15"/>
    </row>
    <row r="7" spans="4:176" x14ac:dyDescent="0.35">
      <c r="E7" s="15"/>
      <c r="F7" s="15"/>
      <c r="G7" s="15"/>
      <c r="AE7" s="15"/>
      <c r="AF7" s="15"/>
      <c r="AG7" s="15"/>
      <c r="BA7" s="15"/>
      <c r="BB7" s="15"/>
      <c r="BC7" s="15"/>
      <c r="BX7" s="15"/>
      <c r="BY7" s="15"/>
      <c r="BZ7" s="15"/>
      <c r="CH7" s="15"/>
      <c r="CI7" s="15"/>
      <c r="CJ7" s="15"/>
      <c r="CR7" s="15"/>
      <c r="CS7" s="15"/>
      <c r="CT7" s="15"/>
      <c r="DB7" s="15"/>
      <c r="DC7" s="15"/>
      <c r="DD7" s="15"/>
      <c r="DL7" s="15"/>
      <c r="DM7" s="15"/>
      <c r="DN7" s="15"/>
      <c r="DV7" s="15"/>
      <c r="DW7" s="15"/>
      <c r="DX7" s="15"/>
      <c r="EF7" s="15"/>
      <c r="EG7" s="15"/>
      <c r="EH7" s="15"/>
      <c r="EP7" s="15"/>
      <c r="EQ7" s="15"/>
      <c r="ER7" s="15"/>
      <c r="FG7" s="15"/>
      <c r="FH7" s="15"/>
      <c r="FI7" s="15"/>
      <c r="FQ7" s="15"/>
      <c r="FR7" s="15"/>
      <c r="FS7" s="15"/>
    </row>
    <row r="8" spans="4:176" x14ac:dyDescent="0.35">
      <c r="E8" s="15"/>
      <c r="F8" s="15"/>
      <c r="G8" s="15"/>
      <c r="AE8" s="15"/>
      <c r="AF8" s="15"/>
      <c r="AG8" s="15"/>
      <c r="BA8" s="15"/>
      <c r="BB8" s="15"/>
      <c r="BC8" s="15"/>
      <c r="BX8" s="15"/>
      <c r="BY8" s="15"/>
      <c r="BZ8" s="15"/>
      <c r="CH8" s="15"/>
      <c r="CI8" s="15"/>
      <c r="CJ8" s="15"/>
      <c r="CR8" s="15"/>
      <c r="CS8" s="15"/>
      <c r="CT8" s="15"/>
      <c r="DB8" s="15"/>
      <c r="DC8" s="15"/>
      <c r="DD8" s="15"/>
      <c r="DL8" s="15"/>
      <c r="DM8" s="15"/>
      <c r="DN8" s="15"/>
      <c r="DV8" s="15"/>
      <c r="DW8" s="15"/>
      <c r="DX8" s="15"/>
      <c r="EF8" s="15"/>
      <c r="EG8" s="15"/>
      <c r="EH8" s="15"/>
      <c r="EP8" s="15"/>
      <c r="EQ8" s="15"/>
      <c r="ER8" s="15"/>
      <c r="FG8" s="15"/>
      <c r="FH8" s="15"/>
      <c r="FI8" s="15"/>
      <c r="FQ8" s="15"/>
      <c r="FR8" s="15"/>
      <c r="FS8" s="15"/>
    </row>
    <row r="9" spans="4:176" x14ac:dyDescent="0.35">
      <c r="E9" s="15"/>
      <c r="F9" s="15"/>
      <c r="G9" s="15"/>
      <c r="AE9" s="15"/>
      <c r="AF9" s="15"/>
      <c r="AG9" s="15"/>
      <c r="BA9" s="15"/>
      <c r="BB9" s="15"/>
      <c r="BC9" s="15"/>
      <c r="BX9" s="15"/>
      <c r="BY9" s="15"/>
      <c r="BZ9" s="15"/>
      <c r="CH9" s="15"/>
      <c r="CI9" s="15"/>
      <c r="CJ9" s="15"/>
      <c r="CR9" s="15"/>
      <c r="CS9" s="15"/>
      <c r="CT9" s="15"/>
      <c r="DB9" s="15"/>
      <c r="DC9" s="15"/>
      <c r="DD9" s="15"/>
      <c r="DL9" s="15"/>
      <c r="DM9" s="15"/>
      <c r="DN9" s="15"/>
      <c r="DV9" s="15"/>
      <c r="DW9" s="15"/>
      <c r="DX9" s="15"/>
      <c r="EF9" s="15"/>
      <c r="EG9" s="15"/>
      <c r="EH9" s="15"/>
      <c r="EP9" s="15"/>
      <c r="EQ9" s="15"/>
      <c r="ER9" s="15"/>
      <c r="FG9" s="15"/>
      <c r="FH9" s="15"/>
      <c r="FI9" s="15"/>
      <c r="FQ9" s="15"/>
      <c r="FR9" s="15"/>
      <c r="FS9" s="15"/>
    </row>
    <row r="10" spans="4:176" x14ac:dyDescent="0.35">
      <c r="E10" s="15"/>
      <c r="F10" s="15"/>
      <c r="G10" s="15"/>
      <c r="AE10" s="15"/>
      <c r="AF10" s="15"/>
      <c r="AG10" s="15"/>
      <c r="BA10" s="15"/>
      <c r="BB10" s="15"/>
      <c r="BC10" s="15"/>
      <c r="BX10" s="15"/>
      <c r="BY10" s="15"/>
      <c r="BZ10" s="15"/>
      <c r="CH10" s="15"/>
      <c r="CI10" s="15"/>
      <c r="CJ10" s="15"/>
      <c r="CR10" s="15"/>
      <c r="CS10" s="15"/>
      <c r="CT10" s="15"/>
      <c r="DB10" s="15"/>
      <c r="DC10" s="15"/>
      <c r="DD10" s="15"/>
      <c r="DL10" s="15"/>
      <c r="DM10" s="15"/>
      <c r="DN10" s="15"/>
      <c r="DV10" s="15"/>
      <c r="DW10" s="15"/>
      <c r="DX10" s="15"/>
      <c r="EF10" s="15"/>
      <c r="EG10" s="15"/>
      <c r="EH10" s="15"/>
      <c r="EP10" s="15"/>
      <c r="EQ10" s="15"/>
      <c r="ER10" s="15"/>
      <c r="FG10" s="15"/>
      <c r="FH10" s="15"/>
      <c r="FI10" s="15"/>
      <c r="FQ10" s="15"/>
      <c r="FR10" s="15"/>
      <c r="FS10" s="15"/>
    </row>
    <row r="11" spans="4:176" x14ac:dyDescent="0.35">
      <c r="E11" s="15"/>
      <c r="F11" s="15"/>
      <c r="G11" s="15"/>
      <c r="AE11" s="15"/>
      <c r="AF11" s="15"/>
      <c r="AG11" s="15"/>
      <c r="BA11" s="15"/>
      <c r="BB11" s="15"/>
      <c r="BC11" s="15"/>
      <c r="BX11" s="15"/>
      <c r="BY11" s="15"/>
      <c r="BZ11" s="15"/>
      <c r="CH11" s="15"/>
      <c r="CI11" s="15"/>
      <c r="CJ11" s="15"/>
      <c r="CR11" s="15"/>
      <c r="CS11" s="15"/>
      <c r="CT11" s="15"/>
      <c r="DB11" s="15"/>
      <c r="DC11" s="15"/>
      <c r="DD11" s="15"/>
      <c r="DL11" s="15"/>
      <c r="DM11" s="15"/>
      <c r="DN11" s="15"/>
      <c r="DV11" s="15"/>
      <c r="DW11" s="15"/>
      <c r="DX11" s="15"/>
      <c r="EF11" s="15"/>
      <c r="EG11" s="15"/>
      <c r="EH11" s="15"/>
      <c r="EP11" s="15"/>
      <c r="EQ11" s="15"/>
      <c r="ER11" s="15"/>
      <c r="FG11" s="15"/>
      <c r="FH11" s="15"/>
      <c r="FI11" s="15"/>
      <c r="FQ11" s="15"/>
      <c r="FR11" s="15"/>
      <c r="FS11" s="15"/>
    </row>
    <row r="12" spans="4:176" x14ac:dyDescent="0.35">
      <c r="E12" s="15"/>
      <c r="F12" s="15"/>
      <c r="G12" s="15"/>
      <c r="AE12" s="15"/>
      <c r="AF12" s="15"/>
      <c r="AG12" s="15"/>
      <c r="BA12" s="15"/>
      <c r="BB12" s="15"/>
      <c r="BC12" s="15"/>
      <c r="BX12" s="15"/>
      <c r="BY12" s="15"/>
      <c r="BZ12" s="15"/>
      <c r="CH12" s="15"/>
      <c r="CI12" s="15"/>
      <c r="CJ12" s="15"/>
      <c r="CR12" s="15"/>
      <c r="CS12" s="15"/>
      <c r="CT12" s="15"/>
      <c r="DB12" s="15"/>
      <c r="DC12" s="15"/>
      <c r="DD12" s="15"/>
      <c r="DL12" s="15"/>
      <c r="DM12" s="15"/>
      <c r="DN12" s="15"/>
      <c r="DV12" s="15"/>
      <c r="DW12" s="15"/>
      <c r="DX12" s="15"/>
      <c r="EF12" s="15"/>
      <c r="EG12" s="15"/>
      <c r="EH12" s="15"/>
      <c r="EP12" s="15"/>
      <c r="EQ12" s="15"/>
      <c r="ER12" s="15"/>
      <c r="FG12" s="15"/>
      <c r="FH12" s="15"/>
      <c r="FI12" s="15"/>
      <c r="FQ12" s="15"/>
      <c r="FR12" s="15"/>
      <c r="FS12" s="15"/>
    </row>
    <row r="13" spans="4:176" x14ac:dyDescent="0.35">
      <c r="E13" s="15"/>
      <c r="F13" s="15"/>
      <c r="G13" s="15"/>
      <c r="AE13" s="15"/>
      <c r="AF13" s="15"/>
      <c r="AG13" s="15"/>
      <c r="BA13" s="15"/>
      <c r="BB13" s="15"/>
      <c r="BC13" s="15"/>
      <c r="BX13" s="15"/>
      <c r="BY13" s="15"/>
      <c r="BZ13" s="15"/>
      <c r="CH13" s="15"/>
      <c r="CI13" s="15"/>
      <c r="CJ13" s="15"/>
      <c r="CR13" s="15"/>
      <c r="CS13" s="15"/>
      <c r="CT13" s="15"/>
      <c r="DB13" s="15"/>
      <c r="DC13" s="15"/>
      <c r="DD13" s="15"/>
      <c r="DL13" s="15"/>
      <c r="DM13" s="15"/>
      <c r="DN13" s="15"/>
      <c r="DV13" s="15"/>
      <c r="DW13" s="15"/>
      <c r="DX13" s="15"/>
      <c r="EF13" s="15"/>
      <c r="EG13" s="15"/>
      <c r="EH13" s="15"/>
      <c r="EP13" s="15"/>
      <c r="EQ13" s="15"/>
      <c r="ER13" s="15"/>
      <c r="FG13" s="15"/>
      <c r="FH13" s="15"/>
      <c r="FI13" s="15"/>
      <c r="FQ13" s="15"/>
      <c r="FR13" s="15"/>
      <c r="FS13" s="15"/>
    </row>
    <row r="14" spans="4:176" x14ac:dyDescent="0.35">
      <c r="E14" s="15"/>
      <c r="F14" s="110"/>
      <c r="G14" s="15"/>
      <c r="AE14" s="15"/>
      <c r="AF14" s="110"/>
      <c r="AG14" s="15"/>
      <c r="AU14" t="s">
        <v>158</v>
      </c>
      <c r="BA14" s="15"/>
      <c r="BB14" s="110"/>
      <c r="BC14" s="15"/>
      <c r="BR14" t="s">
        <v>158</v>
      </c>
      <c r="BX14" s="15"/>
      <c r="BY14" s="110"/>
      <c r="BZ14" s="15"/>
      <c r="CH14" s="15"/>
      <c r="CI14" s="110"/>
      <c r="CJ14" s="15"/>
      <c r="CR14" s="15"/>
      <c r="CS14" s="110"/>
      <c r="CT14" s="15"/>
      <c r="DB14" s="15"/>
      <c r="DC14" s="110"/>
      <c r="DD14" s="15"/>
      <c r="DL14" s="15"/>
      <c r="DM14" s="110"/>
      <c r="DN14" s="15"/>
      <c r="DV14" s="15"/>
      <c r="DW14" s="110"/>
      <c r="DX14" s="15"/>
      <c r="EF14" s="15"/>
      <c r="EG14" s="110"/>
      <c r="EH14" s="15"/>
      <c r="EP14" s="15"/>
      <c r="EQ14" s="110"/>
      <c r="ER14" s="15"/>
      <c r="FG14" s="15"/>
      <c r="FH14" s="110"/>
      <c r="FI14" s="15"/>
      <c r="FQ14" s="15"/>
      <c r="FR14" s="110"/>
      <c r="FS14" s="15"/>
    </row>
    <row r="15" spans="4:176" ht="15" thickBot="1" x14ac:dyDescent="0.4">
      <c r="E15" s="107"/>
      <c r="F15" s="108"/>
      <c r="G15" s="109"/>
      <c r="AE15" s="107"/>
      <c r="AF15" s="108"/>
      <c r="AG15" s="109"/>
      <c r="AM15" s="309" t="s">
        <v>144</v>
      </c>
      <c r="AN15" s="309"/>
      <c r="AO15" s="309"/>
      <c r="AP15" t="s">
        <v>151</v>
      </c>
      <c r="AT15" t="s">
        <v>152</v>
      </c>
      <c r="AU15" t="s">
        <v>156</v>
      </c>
      <c r="AV15" t="s">
        <v>157</v>
      </c>
      <c r="BA15" s="107"/>
      <c r="BB15" s="108"/>
      <c r="BC15" s="109"/>
      <c r="BI15" s="309" t="s">
        <v>144</v>
      </c>
      <c r="BJ15" s="309"/>
      <c r="BK15" s="309"/>
      <c r="BL15" t="s">
        <v>151</v>
      </c>
      <c r="BR15" t="s">
        <v>156</v>
      </c>
      <c r="BS15" t="s">
        <v>157</v>
      </c>
      <c r="BX15" s="107"/>
      <c r="BY15" s="108"/>
      <c r="BZ15" s="109"/>
      <c r="CH15" s="107"/>
      <c r="CI15" s="108"/>
      <c r="CJ15" s="109"/>
      <c r="CR15" s="107"/>
      <c r="CS15" s="108"/>
      <c r="CT15" s="109"/>
      <c r="DB15" s="107"/>
      <c r="DC15" s="108"/>
      <c r="DD15" s="109"/>
      <c r="DL15" s="107"/>
      <c r="DM15" s="108"/>
      <c r="DN15" s="109"/>
      <c r="DV15" s="107"/>
      <c r="DW15" s="108"/>
      <c r="DX15" s="109"/>
      <c r="EF15" s="107"/>
      <c r="EG15" s="108"/>
      <c r="EH15" s="109"/>
      <c r="EP15" s="107"/>
      <c r="EQ15" s="108"/>
      <c r="ER15" s="109"/>
      <c r="FG15" s="107"/>
      <c r="FH15" s="108"/>
      <c r="FI15" s="109"/>
      <c r="FQ15" s="107"/>
      <c r="FR15" s="108"/>
      <c r="FS15" s="109"/>
    </row>
    <row r="16" spans="4:176" x14ac:dyDescent="0.35">
      <c r="D16" s="28"/>
      <c r="E16" s="29"/>
      <c r="F16" s="293"/>
      <c r="G16" s="29"/>
      <c r="H16" s="30"/>
      <c r="L16" t="s">
        <v>143</v>
      </c>
      <c r="O16" t="s">
        <v>144</v>
      </c>
      <c r="P16" t="s">
        <v>151</v>
      </c>
      <c r="Q16" t="s">
        <v>152</v>
      </c>
      <c r="S16" s="273" t="s">
        <v>145</v>
      </c>
      <c r="T16" s="274"/>
      <c r="U16" s="275"/>
      <c r="AD16" s="28"/>
      <c r="AE16" s="29"/>
      <c r="AF16" s="293"/>
      <c r="AG16" s="29"/>
      <c r="AH16" s="30"/>
      <c r="AK16" s="222"/>
      <c r="AL16" t="s">
        <v>143</v>
      </c>
      <c r="AM16" t="s">
        <v>142</v>
      </c>
      <c r="AN16" t="s">
        <v>54</v>
      </c>
      <c r="AO16" t="s">
        <v>153</v>
      </c>
      <c r="AS16" t="s">
        <v>153</v>
      </c>
      <c r="AU16" s="222"/>
      <c r="AV16" s="222"/>
      <c r="AW16" s="222"/>
      <c r="AX16" s="222"/>
      <c r="AY16" s="135"/>
      <c r="AZ16" s="28"/>
      <c r="BA16" s="29"/>
      <c r="BB16" s="293"/>
      <c r="BC16" s="29"/>
      <c r="BD16" s="30"/>
      <c r="BH16" t="s">
        <v>143</v>
      </c>
      <c r="BI16" t="s">
        <v>142</v>
      </c>
      <c r="BJ16" t="s">
        <v>54</v>
      </c>
      <c r="BK16" t="s">
        <v>153</v>
      </c>
      <c r="BP16" t="s">
        <v>153</v>
      </c>
      <c r="BQ16" t="s">
        <v>152</v>
      </c>
      <c r="BR16" s="222"/>
      <c r="BS16" s="222"/>
      <c r="BT16" s="222"/>
      <c r="BW16" s="28"/>
      <c r="BX16" s="29"/>
      <c r="BY16" s="293"/>
      <c r="BZ16" s="29"/>
      <c r="CA16" s="30"/>
      <c r="CG16" s="28"/>
      <c r="CH16" s="29"/>
      <c r="CI16" s="293"/>
      <c r="CJ16" s="29"/>
      <c r="CK16" s="30"/>
      <c r="CQ16" s="28"/>
      <c r="CR16" s="29"/>
      <c r="CS16" s="293"/>
      <c r="CT16" s="29"/>
      <c r="CU16" s="30"/>
      <c r="DA16" s="28"/>
      <c r="DB16" s="29"/>
      <c r="DC16" s="293"/>
      <c r="DD16" s="29"/>
      <c r="DE16" s="30"/>
      <c r="DK16" s="28"/>
      <c r="DL16" s="29"/>
      <c r="DM16" s="293"/>
      <c r="DN16" s="29"/>
      <c r="DO16" s="30"/>
      <c r="DU16" s="28"/>
      <c r="DV16" s="29"/>
      <c r="DW16" s="293"/>
      <c r="DX16" s="29"/>
      <c r="DY16" s="30"/>
      <c r="EE16" s="28"/>
      <c r="EF16" s="29"/>
      <c r="EG16" s="293"/>
      <c r="EH16" s="29"/>
      <c r="EI16" s="30"/>
      <c r="EO16" s="28"/>
      <c r="EP16" s="29"/>
      <c r="EQ16" s="293"/>
      <c r="ER16" s="29"/>
      <c r="ES16" s="30"/>
      <c r="FF16" s="28"/>
      <c r="FG16" s="29"/>
      <c r="FH16" s="293"/>
      <c r="FI16" s="29"/>
      <c r="FJ16" s="30"/>
      <c r="FP16" s="28"/>
      <c r="FQ16" s="29"/>
      <c r="FR16" s="293"/>
      <c r="FS16" s="29"/>
      <c r="FT16" s="30"/>
    </row>
    <row r="17" spans="2:178" x14ac:dyDescent="0.35">
      <c r="D17" s="31"/>
      <c r="E17" s="32"/>
      <c r="F17" s="294"/>
      <c r="G17" s="32"/>
      <c r="H17" s="33"/>
      <c r="L17">
        <v>0</v>
      </c>
      <c r="O17" s="269">
        <f t="shared" ref="O17:O26" si="0">0.052*16.8*L17</f>
        <v>0</v>
      </c>
      <c r="P17" s="269">
        <f>0.052*16.8*L17</f>
        <v>0</v>
      </c>
      <c r="Q17" s="269">
        <f>O17-P17</f>
        <v>0</v>
      </c>
      <c r="S17" s="276">
        <f>8.75^2/1029.4*80</f>
        <v>5.9500680007771507</v>
      </c>
      <c r="T17" s="15"/>
      <c r="U17" s="277" t="s">
        <v>146</v>
      </c>
      <c r="AD17" s="31"/>
      <c r="AE17" s="32"/>
      <c r="AF17" s="294"/>
      <c r="AG17" s="32"/>
      <c r="AH17" s="33"/>
      <c r="AK17" s="222"/>
      <c r="AL17">
        <v>0</v>
      </c>
      <c r="AM17" s="269">
        <f t="shared" ref="AM17:AM25" si="1">0.052*16.8*AL17</f>
        <v>0</v>
      </c>
      <c r="AN17" s="269">
        <v>4000</v>
      </c>
      <c r="AO17" s="269">
        <f>AN17+AM17</f>
        <v>4000</v>
      </c>
      <c r="AP17" s="269">
        <f>0.052*16.8*AL17</f>
        <v>0</v>
      </c>
      <c r="AQ17" s="269"/>
      <c r="AR17" s="269"/>
      <c r="AS17" s="269">
        <f>AP17</f>
        <v>0</v>
      </c>
      <c r="AT17" s="269">
        <f>AO17-AS17</f>
        <v>4000</v>
      </c>
      <c r="AU17" s="222">
        <v>5120</v>
      </c>
      <c r="AV17" s="282">
        <f>AU17/AT17</f>
        <v>1.28</v>
      </c>
      <c r="AW17" s="222"/>
      <c r="AX17" s="222"/>
      <c r="AY17" s="223"/>
      <c r="AZ17" s="31"/>
      <c r="BA17" s="32"/>
      <c r="BB17" s="294"/>
      <c r="BC17" s="32"/>
      <c r="BD17" s="33"/>
      <c r="BH17">
        <v>0</v>
      </c>
      <c r="BI17" s="269">
        <f t="shared" ref="BI17:BI25" si="2">0.052*16.8*BH17</f>
        <v>0</v>
      </c>
      <c r="BJ17" s="269">
        <v>4000</v>
      </c>
      <c r="BK17" s="269">
        <f>BJ17+BI17</f>
        <v>4000</v>
      </c>
      <c r="BL17" s="269">
        <f>0.052*16.8*BH17</f>
        <v>0</v>
      </c>
      <c r="BP17" s="269">
        <f>BL17</f>
        <v>0</v>
      </c>
      <c r="BQ17" s="269">
        <f>BK17-BP17</f>
        <v>4000</v>
      </c>
      <c r="BR17" s="222">
        <v>5120</v>
      </c>
      <c r="BS17" s="282">
        <f>BR17/BQ17</f>
        <v>1.28</v>
      </c>
      <c r="BT17" s="282"/>
      <c r="BW17" s="31"/>
      <c r="BX17" s="32"/>
      <c r="BY17" s="294"/>
      <c r="BZ17" s="32"/>
      <c r="CA17" s="33"/>
      <c r="CG17" s="31"/>
      <c r="CH17" s="32"/>
      <c r="CI17" s="294"/>
      <c r="CJ17" s="32"/>
      <c r="CK17" s="33"/>
      <c r="CQ17" s="31"/>
      <c r="CR17" s="32"/>
      <c r="CS17" s="294"/>
      <c r="CT17" s="32"/>
      <c r="CU17" s="33"/>
      <c r="DA17" s="31"/>
      <c r="DB17" s="32"/>
      <c r="DC17" s="294"/>
      <c r="DD17" s="32"/>
      <c r="DE17" s="33"/>
      <c r="DK17" s="31"/>
      <c r="DL17" s="32"/>
      <c r="DM17" s="294"/>
      <c r="DN17" s="32"/>
      <c r="DO17" s="33"/>
      <c r="DU17" s="31"/>
      <c r="DV17" s="32"/>
      <c r="DW17" s="294"/>
      <c r="DX17" s="32"/>
      <c r="DY17" s="33"/>
      <c r="EE17" s="31"/>
      <c r="EF17" s="32"/>
      <c r="EG17" s="294"/>
      <c r="EH17" s="32"/>
      <c r="EI17" s="33"/>
      <c r="EO17" s="31"/>
      <c r="EP17" s="32"/>
      <c r="EQ17" s="294"/>
      <c r="ER17" s="32"/>
      <c r="ES17" s="33"/>
      <c r="FF17" s="31"/>
      <c r="FG17" s="32"/>
      <c r="FH17" s="294"/>
      <c r="FI17" s="32"/>
      <c r="FJ17" s="33"/>
      <c r="FP17" s="31"/>
      <c r="FQ17" s="32"/>
      <c r="FR17" s="294"/>
      <c r="FS17" s="32"/>
      <c r="FT17" s="33"/>
    </row>
    <row r="18" spans="2:178" x14ac:dyDescent="0.35">
      <c r="E18" s="205"/>
      <c r="F18" s="123"/>
      <c r="G18" s="211"/>
      <c r="L18">
        <f>L17+500</f>
        <v>500</v>
      </c>
      <c r="O18" s="269">
        <f t="shared" si="0"/>
        <v>436.8</v>
      </c>
      <c r="P18" s="269">
        <f t="shared" ref="P18:P38" si="3">0.052*16.8*L18</f>
        <v>436.8</v>
      </c>
      <c r="Q18" s="269">
        <f t="shared" ref="Q18:Q38" si="4">O18-P18</f>
        <v>0</v>
      </c>
      <c r="S18" s="276">
        <f>(12.25^2-9.625^2)/1029.4*4700</f>
        <v>262.17487128424324</v>
      </c>
      <c r="T18" s="278">
        <f>S18*50%</f>
        <v>131.08743564212162</v>
      </c>
      <c r="U18" s="277" t="s">
        <v>147</v>
      </c>
      <c r="AE18" s="205"/>
      <c r="AF18" s="123"/>
      <c r="AG18" s="211"/>
      <c r="AL18">
        <f>AL17+500</f>
        <v>500</v>
      </c>
      <c r="AM18" s="269">
        <f t="shared" si="1"/>
        <v>436.8</v>
      </c>
      <c r="AN18" s="269">
        <v>4000</v>
      </c>
      <c r="AO18" s="269">
        <f t="shared" ref="AO18:AO37" si="5">AN18+AM18</f>
        <v>4436.8</v>
      </c>
      <c r="AP18" s="269">
        <f t="shared" ref="AP18:AP27" si="6">0.052*16.8*AL18</f>
        <v>436.8</v>
      </c>
      <c r="AQ18" s="269"/>
      <c r="AR18" s="269"/>
      <c r="AS18" s="269">
        <f t="shared" ref="AS18:AS27" si="7">AP18</f>
        <v>436.8</v>
      </c>
      <c r="AT18" s="269">
        <f t="shared" ref="AT18:AT37" si="8">AO18-AS18</f>
        <v>4000</v>
      </c>
      <c r="AU18" s="222">
        <v>5120</v>
      </c>
      <c r="AV18" s="282">
        <f t="shared" ref="AV18:AV37" si="9">AU18/AT18</f>
        <v>1.28</v>
      </c>
      <c r="BA18" s="205"/>
      <c r="BB18" s="123"/>
      <c r="BC18" s="211"/>
      <c r="BH18">
        <f>BH17+500</f>
        <v>500</v>
      </c>
      <c r="BI18" s="269">
        <f t="shared" si="2"/>
        <v>436.8</v>
      </c>
      <c r="BJ18" s="269">
        <v>4000</v>
      </c>
      <c r="BK18" s="269">
        <f t="shared" ref="BK18:BK37" si="10">BJ18+BI18</f>
        <v>4436.8</v>
      </c>
      <c r="BL18" s="269">
        <f t="shared" ref="BL18:BL27" si="11">0.052*16.8*BH18</f>
        <v>436.8</v>
      </c>
      <c r="BP18" s="269">
        <f t="shared" ref="BP18:BP27" si="12">BL18</f>
        <v>436.8</v>
      </c>
      <c r="BQ18" s="269">
        <f t="shared" ref="BQ18:BQ28" si="13">BK18-BP18</f>
        <v>4000</v>
      </c>
      <c r="BR18" s="222">
        <v>5120</v>
      </c>
      <c r="BS18" s="282">
        <f t="shared" ref="BS18:BS28" si="14">BR18/BQ18</f>
        <v>1.28</v>
      </c>
      <c r="BT18" s="282"/>
      <c r="BX18" s="205"/>
      <c r="BY18" s="123"/>
      <c r="BZ18" s="123"/>
      <c r="CH18" s="205"/>
      <c r="CI18" s="199"/>
      <c r="CJ18" s="123"/>
      <c r="CR18" s="205"/>
      <c r="CS18" s="113"/>
      <c r="CT18" s="123"/>
      <c r="DB18" s="205"/>
      <c r="DC18" s="199"/>
      <c r="DD18" s="123"/>
      <c r="DL18" s="205"/>
      <c r="DM18" s="199"/>
      <c r="DN18" s="123"/>
      <c r="DV18" s="205"/>
      <c r="DW18" s="199"/>
      <c r="DX18" s="211"/>
      <c r="EF18" s="205"/>
      <c r="EG18" s="199"/>
      <c r="EH18" s="123"/>
      <c r="EP18" s="205"/>
      <c r="EQ18" s="199"/>
      <c r="ER18" s="123"/>
      <c r="FG18" s="2"/>
      <c r="FH18" s="123"/>
      <c r="FI18" s="1"/>
      <c r="FQ18" s="2"/>
      <c r="FR18" s="119"/>
      <c r="FS18" s="1"/>
    </row>
    <row r="19" spans="2:178" x14ac:dyDescent="0.35">
      <c r="B19" s="1"/>
      <c r="C19" s="7"/>
      <c r="D19" s="7"/>
      <c r="E19" s="205"/>
      <c r="F19" s="124"/>
      <c r="G19" s="211"/>
      <c r="H19" s="7"/>
      <c r="I19" s="7"/>
      <c r="J19" s="2"/>
      <c r="L19">
        <f t="shared" ref="L19:L25" si="15">L18+500</f>
        <v>1000</v>
      </c>
      <c r="O19" s="269">
        <f t="shared" si="0"/>
        <v>873.6</v>
      </c>
      <c r="P19" s="269">
        <f t="shared" si="3"/>
        <v>873.6</v>
      </c>
      <c r="Q19" s="269">
        <f t="shared" si="4"/>
        <v>0</v>
      </c>
      <c r="S19" s="279">
        <f>(12.428^2-9.625^2)/1029.4*300</f>
        <v>18.014734505537213</v>
      </c>
      <c r="T19" s="270"/>
      <c r="U19" s="277" t="s">
        <v>148</v>
      </c>
      <c r="AB19" s="1"/>
      <c r="AC19" s="7"/>
      <c r="AD19" s="7"/>
      <c r="AE19" s="205"/>
      <c r="AF19" s="124"/>
      <c r="AG19" s="211"/>
      <c r="AH19" s="7"/>
      <c r="AI19" s="7"/>
      <c r="AJ19" s="2"/>
      <c r="AL19">
        <f t="shared" ref="AL19:AL25" si="16">AL18+500</f>
        <v>1000</v>
      </c>
      <c r="AM19" s="269">
        <f t="shared" si="1"/>
        <v>873.6</v>
      </c>
      <c r="AN19" s="269">
        <v>4000</v>
      </c>
      <c r="AO19" s="269">
        <f t="shared" si="5"/>
        <v>4873.6000000000004</v>
      </c>
      <c r="AP19" s="269">
        <f t="shared" si="6"/>
        <v>873.6</v>
      </c>
      <c r="AQ19" s="269"/>
      <c r="AR19" s="269"/>
      <c r="AS19" s="269">
        <f t="shared" si="7"/>
        <v>873.6</v>
      </c>
      <c r="AT19" s="269">
        <f t="shared" si="8"/>
        <v>4000.0000000000005</v>
      </c>
      <c r="AU19" s="222">
        <v>5120</v>
      </c>
      <c r="AV19" s="282">
        <f t="shared" si="9"/>
        <v>1.2799999999999998</v>
      </c>
      <c r="AX19" s="1"/>
      <c r="AY19" s="7"/>
      <c r="AZ19" s="7"/>
      <c r="BA19" s="205"/>
      <c r="BB19" s="124"/>
      <c r="BC19" s="211"/>
      <c r="BD19" s="7"/>
      <c r="BE19" s="7"/>
      <c r="BF19" s="2"/>
      <c r="BH19">
        <f t="shared" ref="BH19:BH25" si="17">BH18+500</f>
        <v>1000</v>
      </c>
      <c r="BI19" s="269">
        <f t="shared" si="2"/>
        <v>873.6</v>
      </c>
      <c r="BJ19" s="269">
        <v>4000</v>
      </c>
      <c r="BK19" s="269">
        <f t="shared" si="10"/>
        <v>4873.6000000000004</v>
      </c>
      <c r="BL19" s="269">
        <f t="shared" si="11"/>
        <v>873.6</v>
      </c>
      <c r="BP19" s="269">
        <f t="shared" si="12"/>
        <v>873.6</v>
      </c>
      <c r="BQ19" s="269">
        <f t="shared" si="13"/>
        <v>4000.0000000000005</v>
      </c>
      <c r="BR19" s="222">
        <v>5120</v>
      </c>
      <c r="BS19" s="282">
        <f t="shared" si="14"/>
        <v>1.2799999999999998</v>
      </c>
      <c r="BT19" s="282"/>
      <c r="BU19" s="1"/>
      <c r="BV19" s="7"/>
      <c r="BW19" s="7"/>
      <c r="BX19" s="205"/>
      <c r="BY19" s="124"/>
      <c r="BZ19" s="124"/>
      <c r="CA19" s="7"/>
      <c r="CB19" s="7"/>
      <c r="CC19" s="2"/>
      <c r="CE19" s="1"/>
      <c r="CF19" s="7"/>
      <c r="CG19" s="7"/>
      <c r="CH19" s="205"/>
      <c r="CI19" s="200"/>
      <c r="CJ19" s="124"/>
      <c r="CK19" s="7"/>
      <c r="CL19" s="7"/>
      <c r="CM19" s="2"/>
      <c r="CO19" s="1"/>
      <c r="CP19" s="7"/>
      <c r="CQ19" s="7"/>
      <c r="CR19" s="205"/>
      <c r="CS19" s="114"/>
      <c r="CT19" s="124"/>
      <c r="CU19" s="7"/>
      <c r="CV19" s="7"/>
      <c r="CW19" s="2"/>
      <c r="CY19" s="1"/>
      <c r="CZ19" s="7"/>
      <c r="DA19" s="7"/>
      <c r="DB19" s="205"/>
      <c r="DC19" s="200"/>
      <c r="DD19" s="124"/>
      <c r="DE19" s="7"/>
      <c r="DF19" s="7"/>
      <c r="DG19" s="2"/>
      <c r="DI19" s="1"/>
      <c r="DJ19" s="7"/>
      <c r="DK19" s="7"/>
      <c r="DL19" s="205"/>
      <c r="DM19" s="200"/>
      <c r="DN19" s="124"/>
      <c r="DO19" s="7"/>
      <c r="DP19" s="7"/>
      <c r="DQ19" s="2"/>
      <c r="DS19" s="1"/>
      <c r="DT19" s="7"/>
      <c r="DU19" s="7"/>
      <c r="DV19" s="205"/>
      <c r="DW19" s="200"/>
      <c r="DX19" s="211"/>
      <c r="DY19" s="7"/>
      <c r="DZ19" s="7"/>
      <c r="EA19" s="2"/>
      <c r="EC19" s="1"/>
      <c r="ED19" s="7"/>
      <c r="EE19" s="7"/>
      <c r="EF19" s="205"/>
      <c r="EG19" s="200"/>
      <c r="EH19" s="124"/>
      <c r="EI19" s="7"/>
      <c r="EJ19" s="7"/>
      <c r="EK19" s="2"/>
      <c r="EM19" s="1"/>
      <c r="EN19" s="7"/>
      <c r="EO19" s="7"/>
      <c r="EP19" s="205"/>
      <c r="EQ19" s="200"/>
      <c r="ER19" s="124"/>
      <c r="ES19" s="7"/>
      <c r="ET19" s="7"/>
      <c r="EU19" s="2"/>
      <c r="FD19" s="1"/>
      <c r="FE19" s="7"/>
      <c r="FF19" s="7"/>
      <c r="FG19" s="2"/>
      <c r="FH19" s="124"/>
      <c r="FI19" s="1"/>
      <c r="FJ19" s="7"/>
      <c r="FK19" s="7"/>
      <c r="FL19" s="2"/>
      <c r="FN19" s="1"/>
      <c r="FO19" s="7"/>
      <c r="FP19" s="7"/>
      <c r="FQ19" s="2"/>
      <c r="FR19" s="105"/>
      <c r="FS19" s="1"/>
      <c r="FT19" s="7"/>
      <c r="FU19" s="7"/>
      <c r="FV19" s="2"/>
    </row>
    <row r="20" spans="2:178" x14ac:dyDescent="0.35">
      <c r="B20" s="3"/>
      <c r="C20" s="7"/>
      <c r="D20" s="7"/>
      <c r="E20" s="205"/>
      <c r="F20" s="204" t="s">
        <v>55</v>
      </c>
      <c r="G20" s="211"/>
      <c r="H20" s="7"/>
      <c r="I20" s="7"/>
      <c r="J20" s="5"/>
      <c r="L20">
        <f t="shared" si="15"/>
        <v>1500</v>
      </c>
      <c r="O20" s="269">
        <f t="shared" si="0"/>
        <v>1310.4000000000001</v>
      </c>
      <c r="P20" s="269">
        <f t="shared" si="3"/>
        <v>1310.4000000000001</v>
      </c>
      <c r="Q20" s="269">
        <f t="shared" si="4"/>
        <v>0</v>
      </c>
      <c r="S20" s="301">
        <f>SUM(S17:T19)</f>
        <v>417.22710943267924</v>
      </c>
      <c r="T20" s="302"/>
      <c r="U20" s="277" t="s">
        <v>149</v>
      </c>
      <c r="AB20" s="3"/>
      <c r="AC20" s="7"/>
      <c r="AD20" s="7"/>
      <c r="AE20" s="205"/>
      <c r="AF20" s="124"/>
      <c r="AG20" s="211"/>
      <c r="AH20" s="7"/>
      <c r="AI20" s="7"/>
      <c r="AJ20" s="5"/>
      <c r="AL20">
        <f t="shared" si="16"/>
        <v>1500</v>
      </c>
      <c r="AM20" s="269">
        <f t="shared" si="1"/>
        <v>1310.4000000000001</v>
      </c>
      <c r="AN20" s="269">
        <v>4000</v>
      </c>
      <c r="AO20" s="269">
        <f t="shared" si="5"/>
        <v>5310.4</v>
      </c>
      <c r="AP20" s="269">
        <f t="shared" si="6"/>
        <v>1310.4000000000001</v>
      </c>
      <c r="AQ20" s="269"/>
      <c r="AR20" s="269"/>
      <c r="AS20" s="269">
        <f t="shared" si="7"/>
        <v>1310.4000000000001</v>
      </c>
      <c r="AT20" s="269">
        <f t="shared" si="8"/>
        <v>3999.9999999999995</v>
      </c>
      <c r="AU20" s="222">
        <v>5120</v>
      </c>
      <c r="AV20" s="282">
        <f t="shared" si="9"/>
        <v>1.2800000000000002</v>
      </c>
      <c r="AX20" s="3"/>
      <c r="AY20" s="7"/>
      <c r="AZ20" s="7"/>
      <c r="BA20" s="205"/>
      <c r="BB20" s="124"/>
      <c r="BC20" s="211"/>
      <c r="BD20" s="7"/>
      <c r="BE20" s="7"/>
      <c r="BF20" s="5"/>
      <c r="BH20">
        <f t="shared" si="17"/>
        <v>1500</v>
      </c>
      <c r="BI20" s="269">
        <f t="shared" si="2"/>
        <v>1310.4000000000001</v>
      </c>
      <c r="BJ20" s="269">
        <v>4000</v>
      </c>
      <c r="BK20" s="269">
        <f t="shared" si="10"/>
        <v>5310.4</v>
      </c>
      <c r="BL20" s="269">
        <f t="shared" si="11"/>
        <v>1310.4000000000001</v>
      </c>
      <c r="BP20" s="269">
        <f t="shared" si="12"/>
        <v>1310.4000000000001</v>
      </c>
      <c r="BQ20" s="269">
        <f t="shared" si="13"/>
        <v>3999.9999999999995</v>
      </c>
      <c r="BR20" s="222">
        <v>5120</v>
      </c>
      <c r="BS20" s="282">
        <f t="shared" si="14"/>
        <v>1.2800000000000002</v>
      </c>
      <c r="BT20" s="282"/>
      <c r="BU20" s="3"/>
      <c r="BV20" s="7"/>
      <c r="BW20" s="7"/>
      <c r="BX20" s="205"/>
      <c r="BY20" s="124"/>
      <c r="BZ20" s="124"/>
      <c r="CA20" s="7"/>
      <c r="CB20" s="7"/>
      <c r="CC20" s="5"/>
      <c r="CE20" s="3"/>
      <c r="CF20" s="7"/>
      <c r="CG20" s="7"/>
      <c r="CH20" s="205"/>
      <c r="CI20" s="200"/>
      <c r="CJ20" s="124"/>
      <c r="CK20" s="7"/>
      <c r="CL20" s="7"/>
      <c r="CM20" s="5"/>
      <c r="CO20" s="3"/>
      <c r="CP20" s="7"/>
      <c r="CQ20" s="7"/>
      <c r="CR20" s="205"/>
      <c r="CS20" s="114"/>
      <c r="CT20" s="124"/>
      <c r="CU20" s="7"/>
      <c r="CV20" s="7"/>
      <c r="CW20" s="5"/>
      <c r="CY20" s="3"/>
      <c r="CZ20" s="7"/>
      <c r="DA20" s="7"/>
      <c r="DB20" s="205"/>
      <c r="DC20" s="200"/>
      <c r="DD20" s="124"/>
      <c r="DE20" s="7"/>
      <c r="DF20" s="7"/>
      <c r="DG20" s="5"/>
      <c r="DI20" s="3"/>
      <c r="DJ20" s="7"/>
      <c r="DK20" s="7"/>
      <c r="DL20" s="205"/>
      <c r="DM20" s="200"/>
      <c r="DN20" s="124"/>
      <c r="DO20" s="7"/>
      <c r="DP20" s="7"/>
      <c r="DQ20" s="5"/>
      <c r="DS20" s="3"/>
      <c r="DT20" s="7"/>
      <c r="DU20" s="7"/>
      <c r="DV20" s="205"/>
      <c r="DW20" s="200"/>
      <c r="DX20" s="211"/>
      <c r="DY20" s="7"/>
      <c r="DZ20" s="7"/>
      <c r="EA20" s="5"/>
      <c r="EC20" s="3"/>
      <c r="ED20" s="7"/>
      <c r="EE20" s="7"/>
      <c r="EF20" s="205"/>
      <c r="EG20" s="200"/>
      <c r="EH20" s="124"/>
      <c r="EI20" s="7"/>
      <c r="EJ20" s="7"/>
      <c r="EK20" s="5"/>
      <c r="EM20" s="3"/>
      <c r="EN20" s="7"/>
      <c r="EO20" s="7"/>
      <c r="EP20" s="205"/>
      <c r="EQ20" s="200"/>
      <c r="ER20" s="124"/>
      <c r="ES20" s="7"/>
      <c r="ET20" s="7"/>
      <c r="EU20" s="5"/>
      <c r="FD20" s="3"/>
      <c r="FE20" s="7"/>
      <c r="FF20" s="7"/>
      <c r="FG20" s="2"/>
      <c r="FH20" s="124"/>
      <c r="FI20" s="1"/>
      <c r="FJ20" s="7"/>
      <c r="FK20" s="7"/>
      <c r="FL20" s="5"/>
      <c r="FN20" s="3"/>
      <c r="FO20" s="7"/>
      <c r="FP20" s="7"/>
      <c r="FQ20" s="2"/>
      <c r="FR20" s="105"/>
      <c r="FS20" s="1"/>
      <c r="FT20" s="7"/>
      <c r="FU20" s="7"/>
      <c r="FV20" s="5"/>
    </row>
    <row r="21" spans="2:178" ht="15" thickBot="1" x14ac:dyDescent="0.4">
      <c r="B21" s="4"/>
      <c r="C21" s="7"/>
      <c r="D21" s="7"/>
      <c r="E21" s="205"/>
      <c r="F21" s="204" t="s">
        <v>141</v>
      </c>
      <c r="G21" s="211"/>
      <c r="H21" s="7"/>
      <c r="I21" s="7"/>
      <c r="J21" s="6"/>
      <c r="L21">
        <f t="shared" si="15"/>
        <v>2000</v>
      </c>
      <c r="O21" s="269">
        <f t="shared" si="0"/>
        <v>1747.2</v>
      </c>
      <c r="P21" s="269">
        <f t="shared" si="3"/>
        <v>1747.2</v>
      </c>
      <c r="Q21" s="269">
        <f t="shared" si="4"/>
        <v>0</v>
      </c>
      <c r="S21" s="303">
        <f>8.75^2/1029.4</f>
        <v>7.4375850009714389E-2</v>
      </c>
      <c r="T21" s="304"/>
      <c r="U21" s="277" t="s">
        <v>150</v>
      </c>
      <c r="AB21" s="4"/>
      <c r="AC21" s="7"/>
      <c r="AD21" s="7"/>
      <c r="AE21" s="205"/>
      <c r="AF21" s="124"/>
      <c r="AG21" s="211"/>
      <c r="AH21" s="7"/>
      <c r="AI21" s="7"/>
      <c r="AJ21" s="6"/>
      <c r="AL21">
        <f t="shared" si="16"/>
        <v>2000</v>
      </c>
      <c r="AM21" s="269">
        <f t="shared" si="1"/>
        <v>1747.2</v>
      </c>
      <c r="AN21" s="269">
        <v>4000</v>
      </c>
      <c r="AO21" s="269">
        <f t="shared" si="5"/>
        <v>5747.2</v>
      </c>
      <c r="AP21" s="269">
        <f t="shared" si="6"/>
        <v>1747.2</v>
      </c>
      <c r="AQ21" s="269"/>
      <c r="AR21" s="269"/>
      <c r="AS21" s="269">
        <f t="shared" si="7"/>
        <v>1747.2</v>
      </c>
      <c r="AT21" s="269">
        <f t="shared" si="8"/>
        <v>4000</v>
      </c>
      <c r="AU21" s="222">
        <v>5120</v>
      </c>
      <c r="AV21" s="282">
        <f t="shared" si="9"/>
        <v>1.28</v>
      </c>
      <c r="AX21" s="4"/>
      <c r="AY21" s="7"/>
      <c r="AZ21" s="7"/>
      <c r="BA21" s="205"/>
      <c r="BB21" s="124"/>
      <c r="BC21" s="211"/>
      <c r="BD21" s="7"/>
      <c r="BE21" s="7"/>
      <c r="BF21" s="6"/>
      <c r="BH21">
        <f t="shared" si="17"/>
        <v>2000</v>
      </c>
      <c r="BI21" s="269">
        <f t="shared" si="2"/>
        <v>1747.2</v>
      </c>
      <c r="BJ21" s="269">
        <v>4000</v>
      </c>
      <c r="BK21" s="269">
        <f t="shared" si="10"/>
        <v>5747.2</v>
      </c>
      <c r="BL21" s="269">
        <f t="shared" si="11"/>
        <v>1747.2</v>
      </c>
      <c r="BP21" s="269">
        <f t="shared" si="12"/>
        <v>1747.2</v>
      </c>
      <c r="BQ21" s="269">
        <f t="shared" si="13"/>
        <v>4000</v>
      </c>
      <c r="BR21" s="222">
        <v>5120</v>
      </c>
      <c r="BS21" s="282">
        <f t="shared" si="14"/>
        <v>1.28</v>
      </c>
      <c r="BT21" s="282"/>
      <c r="BU21" s="4"/>
      <c r="BV21" s="7"/>
      <c r="BW21" s="7"/>
      <c r="BX21" s="205"/>
      <c r="BY21" s="124"/>
      <c r="BZ21" s="124"/>
      <c r="CA21" s="7"/>
      <c r="CB21" s="7"/>
      <c r="CC21" s="6"/>
      <c r="CE21" s="4"/>
      <c r="CF21" s="7"/>
      <c r="CG21" s="7"/>
      <c r="CH21" s="205"/>
      <c r="CI21" s="200"/>
      <c r="CJ21" s="124"/>
      <c r="CK21" s="7"/>
      <c r="CL21" s="7"/>
      <c r="CM21" s="6"/>
      <c r="CO21" s="4"/>
      <c r="CP21" s="7"/>
      <c r="CQ21" s="7"/>
      <c r="CR21" s="205"/>
      <c r="CS21" s="114"/>
      <c r="CT21" s="124"/>
      <c r="CU21" s="7"/>
      <c r="CV21" s="7"/>
      <c r="CW21" s="6"/>
      <c r="CY21" s="4"/>
      <c r="CZ21" s="7"/>
      <c r="DA21" s="7"/>
      <c r="DB21" s="205"/>
      <c r="DC21" s="200"/>
      <c r="DD21" s="124"/>
      <c r="DE21" s="7"/>
      <c r="DF21" s="7"/>
      <c r="DG21" s="6"/>
      <c r="DI21" s="4"/>
      <c r="DJ21" s="7"/>
      <c r="DK21" s="7"/>
      <c r="DL21" s="205"/>
      <c r="DM21" s="200"/>
      <c r="DN21" s="124"/>
      <c r="DO21" s="7"/>
      <c r="DP21" s="7"/>
      <c r="DQ21" s="6"/>
      <c r="DS21" s="4"/>
      <c r="DT21" s="7"/>
      <c r="DU21" s="7"/>
      <c r="DV21" s="205"/>
      <c r="DW21" s="200"/>
      <c r="DX21" s="211"/>
      <c r="DY21" s="7"/>
      <c r="DZ21" s="7"/>
      <c r="EA21" s="6"/>
      <c r="EC21" s="4"/>
      <c r="ED21" s="7"/>
      <c r="EE21" s="7"/>
      <c r="EF21" s="205"/>
      <c r="EG21" s="200"/>
      <c r="EH21" s="124"/>
      <c r="EI21" s="7"/>
      <c r="EJ21" s="7"/>
      <c r="EK21" s="6"/>
      <c r="EM21" s="4"/>
      <c r="EN21" s="7"/>
      <c r="EO21" s="7"/>
      <c r="EP21" s="205"/>
      <c r="EQ21" s="200"/>
      <c r="ER21" s="124"/>
      <c r="ES21" s="7"/>
      <c r="ET21" s="7"/>
      <c r="EU21" s="6"/>
      <c r="FD21" s="4"/>
      <c r="FE21" s="7"/>
      <c r="FF21" s="7"/>
      <c r="FG21" s="2"/>
      <c r="FH21" s="124"/>
      <c r="FI21" s="1"/>
      <c r="FJ21" s="7"/>
      <c r="FK21" s="7"/>
      <c r="FL21" s="6"/>
      <c r="FN21" s="4"/>
      <c r="FO21" s="7"/>
      <c r="FP21" s="7"/>
      <c r="FQ21" s="2"/>
      <c r="FR21" s="105"/>
      <c r="FS21" s="1"/>
      <c r="FT21" s="7"/>
      <c r="FU21" s="7"/>
      <c r="FV21" s="6"/>
    </row>
    <row r="22" spans="2:178" ht="15" thickTop="1" x14ac:dyDescent="0.35">
      <c r="D22" s="16"/>
      <c r="E22" s="205"/>
      <c r="F22" s="124"/>
      <c r="G22" s="211"/>
      <c r="H22" s="18"/>
      <c r="L22">
        <f t="shared" si="15"/>
        <v>2500</v>
      </c>
      <c r="O22" s="269">
        <f t="shared" si="0"/>
        <v>2184</v>
      </c>
      <c r="P22" s="269">
        <f t="shared" si="3"/>
        <v>2184</v>
      </c>
      <c r="Q22" s="269">
        <f t="shared" si="4"/>
        <v>0</v>
      </c>
      <c r="S22" s="305">
        <f>S20/S21</f>
        <v>5609.712149551021</v>
      </c>
      <c r="T22" s="306"/>
      <c r="U22" s="277" t="s">
        <v>160</v>
      </c>
      <c r="AD22" s="16"/>
      <c r="AE22" s="205"/>
      <c r="AF22" s="124"/>
      <c r="AG22" s="211"/>
      <c r="AH22" s="18"/>
      <c r="AL22">
        <f t="shared" si="16"/>
        <v>2500</v>
      </c>
      <c r="AM22" s="269">
        <f t="shared" si="1"/>
        <v>2184</v>
      </c>
      <c r="AN22" s="269">
        <v>4000</v>
      </c>
      <c r="AO22" s="269">
        <f t="shared" si="5"/>
        <v>6184</v>
      </c>
      <c r="AP22" s="269">
        <f t="shared" si="6"/>
        <v>2184</v>
      </c>
      <c r="AQ22" s="269"/>
      <c r="AR22" s="269"/>
      <c r="AS22" s="269">
        <f t="shared" si="7"/>
        <v>2184</v>
      </c>
      <c r="AT22" s="269">
        <f t="shared" si="8"/>
        <v>4000</v>
      </c>
      <c r="AU22" s="222">
        <v>5120</v>
      </c>
      <c r="AV22" s="282">
        <f t="shared" si="9"/>
        <v>1.28</v>
      </c>
      <c r="AZ22" s="16"/>
      <c r="BA22" s="205"/>
      <c r="BB22" s="124"/>
      <c r="BC22" s="211"/>
      <c r="BD22" s="18"/>
      <c r="BH22">
        <f t="shared" si="17"/>
        <v>2500</v>
      </c>
      <c r="BI22" s="269">
        <f t="shared" si="2"/>
        <v>2184</v>
      </c>
      <c r="BJ22" s="269">
        <v>4000</v>
      </c>
      <c r="BK22" s="269">
        <f t="shared" si="10"/>
        <v>6184</v>
      </c>
      <c r="BL22" s="269">
        <f t="shared" si="11"/>
        <v>2184</v>
      </c>
      <c r="BP22" s="269">
        <f t="shared" si="12"/>
        <v>2184</v>
      </c>
      <c r="BQ22" s="269">
        <f t="shared" si="13"/>
        <v>4000</v>
      </c>
      <c r="BR22" s="222">
        <v>5120</v>
      </c>
      <c r="BS22" s="282">
        <f t="shared" si="14"/>
        <v>1.28</v>
      </c>
      <c r="BT22" s="282"/>
      <c r="BW22" s="16"/>
      <c r="BX22" s="205"/>
      <c r="BY22" s="124"/>
      <c r="BZ22" s="124"/>
      <c r="CA22" s="18"/>
      <c r="CG22" s="16"/>
      <c r="CH22" s="205"/>
      <c r="CI22" s="200"/>
      <c r="CJ22" s="124"/>
      <c r="CK22" s="18"/>
      <c r="CQ22" s="16"/>
      <c r="CR22" s="205"/>
      <c r="CS22" s="114"/>
      <c r="CT22" s="124"/>
      <c r="CU22" s="18"/>
      <c r="DA22" s="16"/>
      <c r="DB22" s="205"/>
      <c r="DC22" s="200"/>
      <c r="DD22" s="124"/>
      <c r="DE22" s="18"/>
      <c r="DK22" s="16"/>
      <c r="DL22" s="205"/>
      <c r="DM22" s="200"/>
      <c r="DN22" s="124"/>
      <c r="DO22" s="18"/>
      <c r="DU22" s="16"/>
      <c r="DV22" s="205"/>
      <c r="DW22" s="200"/>
      <c r="DX22" s="211"/>
      <c r="DY22" s="18"/>
      <c r="EE22" s="16"/>
      <c r="EF22" s="205"/>
      <c r="EG22" s="200"/>
      <c r="EH22" s="124"/>
      <c r="EI22" s="18"/>
      <c r="EO22" s="16"/>
      <c r="EP22" s="205"/>
      <c r="EQ22" s="200"/>
      <c r="ER22" s="124"/>
      <c r="ES22" s="18"/>
      <c r="FF22" s="16"/>
      <c r="FG22" s="2"/>
      <c r="FH22" s="124"/>
      <c r="FI22" s="1"/>
      <c r="FJ22" s="18"/>
      <c r="FP22" s="16"/>
      <c r="FQ22" s="2"/>
      <c r="FR22" s="105"/>
      <c r="FS22" s="1"/>
      <c r="FT22" s="18"/>
    </row>
    <row r="23" spans="2:178" ht="15" thickBot="1" x14ac:dyDescent="0.4">
      <c r="D23" s="16"/>
      <c r="E23" s="205"/>
      <c r="F23" s="124"/>
      <c r="G23" s="211"/>
      <c r="H23" s="18"/>
      <c r="L23">
        <f t="shared" si="15"/>
        <v>3000</v>
      </c>
      <c r="O23" s="269">
        <f t="shared" si="0"/>
        <v>2620.8000000000002</v>
      </c>
      <c r="P23" s="269">
        <f t="shared" si="3"/>
        <v>2620.8000000000002</v>
      </c>
      <c r="Q23" s="269">
        <f t="shared" si="4"/>
        <v>0</v>
      </c>
      <c r="S23" s="307">
        <f>10000-S22</f>
        <v>4390.287850448979</v>
      </c>
      <c r="T23" s="308"/>
      <c r="U23" s="280" t="s">
        <v>161</v>
      </c>
      <c r="AD23" s="16"/>
      <c r="AE23" s="205"/>
      <c r="AF23" s="124"/>
      <c r="AG23" s="211"/>
      <c r="AH23" s="18"/>
      <c r="AL23">
        <f t="shared" si="16"/>
        <v>3000</v>
      </c>
      <c r="AM23" s="269">
        <f t="shared" si="1"/>
        <v>2620.8000000000002</v>
      </c>
      <c r="AN23" s="269">
        <v>4000</v>
      </c>
      <c r="AO23" s="269">
        <f t="shared" si="5"/>
        <v>6620.8</v>
      </c>
      <c r="AP23" s="269">
        <f t="shared" si="6"/>
        <v>2620.8000000000002</v>
      </c>
      <c r="AQ23" s="269"/>
      <c r="AR23" s="269"/>
      <c r="AS23" s="269">
        <f t="shared" si="7"/>
        <v>2620.8000000000002</v>
      </c>
      <c r="AT23" s="269">
        <f t="shared" si="8"/>
        <v>4000</v>
      </c>
      <c r="AU23" s="222">
        <v>5120</v>
      </c>
      <c r="AV23" s="282">
        <f t="shared" si="9"/>
        <v>1.28</v>
      </c>
      <c r="AZ23" s="16"/>
      <c r="BA23" s="205"/>
      <c r="BB23" s="124"/>
      <c r="BC23" s="211"/>
      <c r="BD23" s="18"/>
      <c r="BH23">
        <f t="shared" si="17"/>
        <v>3000</v>
      </c>
      <c r="BI23" s="269">
        <f t="shared" si="2"/>
        <v>2620.8000000000002</v>
      </c>
      <c r="BJ23" s="269">
        <v>4000</v>
      </c>
      <c r="BK23" s="269">
        <f t="shared" si="10"/>
        <v>6620.8</v>
      </c>
      <c r="BL23" s="269">
        <f t="shared" si="11"/>
        <v>2620.8000000000002</v>
      </c>
      <c r="BP23" s="269">
        <f t="shared" si="12"/>
        <v>2620.8000000000002</v>
      </c>
      <c r="BQ23" s="269">
        <f t="shared" si="13"/>
        <v>4000</v>
      </c>
      <c r="BR23" s="222">
        <v>5120</v>
      </c>
      <c r="BS23" s="282">
        <f t="shared" si="14"/>
        <v>1.28</v>
      </c>
      <c r="BT23" s="282"/>
      <c r="BW23" s="16"/>
      <c r="BX23" s="205"/>
      <c r="BY23" s="124"/>
      <c r="BZ23" s="124"/>
      <c r="CA23" s="18"/>
      <c r="CG23" s="16"/>
      <c r="CH23" s="205"/>
      <c r="CI23" s="200"/>
      <c r="CJ23" s="124"/>
      <c r="CK23" s="18"/>
      <c r="CQ23" s="16"/>
      <c r="CR23" s="205"/>
      <c r="CS23" s="114"/>
      <c r="CT23" s="124"/>
      <c r="CU23" s="18"/>
      <c r="DA23" s="16"/>
      <c r="DB23" s="205"/>
      <c r="DC23" s="200"/>
      <c r="DD23" s="124"/>
      <c r="DE23" s="18"/>
      <c r="DK23" s="16"/>
      <c r="DL23" s="205"/>
      <c r="DM23" s="200"/>
      <c r="DN23" s="124"/>
      <c r="DO23" s="18"/>
      <c r="DU23" s="16"/>
      <c r="DV23" s="205"/>
      <c r="DW23" s="200"/>
      <c r="DX23" s="211"/>
      <c r="DY23" s="18"/>
      <c r="EE23" s="16"/>
      <c r="EF23" s="205"/>
      <c r="EG23" s="200"/>
      <c r="EH23" s="124"/>
      <c r="EI23" s="18"/>
      <c r="EO23" s="16"/>
      <c r="EP23" s="205"/>
      <c r="EQ23" s="200"/>
      <c r="ER23" s="124"/>
      <c r="ES23" s="18"/>
      <c r="FF23" s="16"/>
      <c r="FG23" s="2"/>
      <c r="FH23" s="124"/>
      <c r="FI23" s="1"/>
      <c r="FJ23" s="18"/>
      <c r="FP23" s="16"/>
      <c r="FQ23" s="2"/>
      <c r="FR23" s="105"/>
      <c r="FS23" s="1"/>
      <c r="FT23" s="18"/>
    </row>
    <row r="24" spans="2:178" x14ac:dyDescent="0.35">
      <c r="D24" s="16"/>
      <c r="E24" s="205"/>
      <c r="F24" s="124"/>
      <c r="G24" s="211"/>
      <c r="H24" s="18"/>
      <c r="L24">
        <f t="shared" si="15"/>
        <v>3500</v>
      </c>
      <c r="O24" s="269">
        <f t="shared" si="0"/>
        <v>3057.6000000000004</v>
      </c>
      <c r="P24" s="269">
        <f t="shared" si="3"/>
        <v>3057.6000000000004</v>
      </c>
      <c r="Q24" s="269">
        <f t="shared" si="4"/>
        <v>0</v>
      </c>
      <c r="AD24" s="16"/>
      <c r="AE24" s="205"/>
      <c r="AF24" s="124"/>
      <c r="AG24" s="211"/>
      <c r="AH24" s="18"/>
      <c r="AL24">
        <f t="shared" si="16"/>
        <v>3500</v>
      </c>
      <c r="AM24" s="269">
        <f t="shared" si="1"/>
        <v>3057.6000000000004</v>
      </c>
      <c r="AN24" s="269">
        <v>4000</v>
      </c>
      <c r="AO24" s="269">
        <f t="shared" si="5"/>
        <v>7057.6</v>
      </c>
      <c r="AP24" s="269">
        <f t="shared" si="6"/>
        <v>3057.6000000000004</v>
      </c>
      <c r="AQ24" s="269"/>
      <c r="AR24" s="269"/>
      <c r="AS24" s="269">
        <f t="shared" si="7"/>
        <v>3057.6000000000004</v>
      </c>
      <c r="AT24" s="269">
        <f t="shared" si="8"/>
        <v>4000</v>
      </c>
      <c r="AU24" s="222">
        <v>5120</v>
      </c>
      <c r="AV24" s="282">
        <f t="shared" si="9"/>
        <v>1.28</v>
      </c>
      <c r="AZ24" s="16"/>
      <c r="BA24" s="205"/>
      <c r="BB24" s="124"/>
      <c r="BC24" s="211"/>
      <c r="BD24" s="18"/>
      <c r="BH24">
        <f t="shared" si="17"/>
        <v>3500</v>
      </c>
      <c r="BI24" s="269">
        <f t="shared" si="2"/>
        <v>3057.6000000000004</v>
      </c>
      <c r="BJ24" s="269">
        <v>4000</v>
      </c>
      <c r="BK24" s="269">
        <f t="shared" si="10"/>
        <v>7057.6</v>
      </c>
      <c r="BL24" s="269">
        <f t="shared" si="11"/>
        <v>3057.6000000000004</v>
      </c>
      <c r="BP24" s="269">
        <f t="shared" si="12"/>
        <v>3057.6000000000004</v>
      </c>
      <c r="BQ24" s="269">
        <f t="shared" si="13"/>
        <v>4000</v>
      </c>
      <c r="BR24" s="222">
        <v>5120</v>
      </c>
      <c r="BS24" s="282">
        <f t="shared" si="14"/>
        <v>1.28</v>
      </c>
      <c r="BT24" s="282"/>
      <c r="BW24" s="16"/>
      <c r="BX24" s="205"/>
      <c r="BY24" s="124"/>
      <c r="BZ24" s="124"/>
      <c r="CA24" s="18"/>
      <c r="CG24" s="16"/>
      <c r="CH24" s="205"/>
      <c r="CI24" s="200"/>
      <c r="CJ24" s="124"/>
      <c r="CK24" s="18"/>
      <c r="CQ24" s="16"/>
      <c r="CR24" s="205"/>
      <c r="CS24" s="114"/>
      <c r="CT24" s="124"/>
      <c r="CU24" s="18"/>
      <c r="DA24" s="16"/>
      <c r="DB24" s="205"/>
      <c r="DC24" s="200"/>
      <c r="DD24" s="124"/>
      <c r="DE24" s="18"/>
      <c r="DK24" s="16"/>
      <c r="DL24" s="205"/>
      <c r="DM24" s="200"/>
      <c r="DN24" s="124"/>
      <c r="DO24" s="18"/>
      <c r="DU24" s="16"/>
      <c r="DV24" s="205"/>
      <c r="DW24" s="200"/>
      <c r="DX24" s="211"/>
      <c r="DY24" s="18"/>
      <c r="EE24" s="16"/>
      <c r="EF24" s="205"/>
      <c r="EG24" s="200"/>
      <c r="EH24" s="124"/>
      <c r="EI24" s="18"/>
      <c r="EO24" s="16"/>
      <c r="EP24" s="205"/>
      <c r="EQ24" s="200"/>
      <c r="ER24" s="124"/>
      <c r="ES24" s="18"/>
      <c r="FF24" s="16"/>
      <c r="FG24" s="2"/>
      <c r="FH24" s="124"/>
      <c r="FI24" s="1"/>
      <c r="FJ24" s="18"/>
      <c r="FP24" s="16"/>
      <c r="FQ24" s="2"/>
      <c r="FR24" s="105"/>
      <c r="FS24" s="1"/>
      <c r="FT24" s="18"/>
    </row>
    <row r="25" spans="2:178" x14ac:dyDescent="0.35">
      <c r="B25" t="s">
        <v>49</v>
      </c>
      <c r="D25" s="16"/>
      <c r="E25" s="205"/>
      <c r="F25" s="81"/>
      <c r="G25" s="211"/>
      <c r="H25" s="18"/>
      <c r="I25" t="s">
        <v>61</v>
      </c>
      <c r="L25">
        <f t="shared" si="15"/>
        <v>4000</v>
      </c>
      <c r="O25" s="269">
        <f t="shared" si="0"/>
        <v>3494.4</v>
      </c>
      <c r="P25" s="269">
        <f t="shared" si="3"/>
        <v>3494.4</v>
      </c>
      <c r="Q25" s="269">
        <f t="shared" si="4"/>
        <v>0</v>
      </c>
      <c r="AB25" t="s">
        <v>49</v>
      </c>
      <c r="AD25" s="16"/>
      <c r="AE25" s="205"/>
      <c r="AF25" s="124"/>
      <c r="AG25" s="211"/>
      <c r="AH25" s="18"/>
      <c r="AI25" t="s">
        <v>61</v>
      </c>
      <c r="AL25">
        <f t="shared" si="16"/>
        <v>4000</v>
      </c>
      <c r="AM25" s="269">
        <f t="shared" si="1"/>
        <v>3494.4</v>
      </c>
      <c r="AN25" s="269">
        <v>4000</v>
      </c>
      <c r="AO25" s="269">
        <f t="shared" si="5"/>
        <v>7494.4</v>
      </c>
      <c r="AP25" s="269">
        <f t="shared" si="6"/>
        <v>3494.4</v>
      </c>
      <c r="AQ25" s="269"/>
      <c r="AR25" s="269"/>
      <c r="AS25" s="269">
        <f t="shared" si="7"/>
        <v>3494.4</v>
      </c>
      <c r="AT25" s="269">
        <f t="shared" si="8"/>
        <v>3999.9999999999995</v>
      </c>
      <c r="AU25" s="222">
        <v>5120</v>
      </c>
      <c r="AV25" s="282">
        <f t="shared" si="9"/>
        <v>1.2800000000000002</v>
      </c>
      <c r="AZ25" s="16"/>
      <c r="BA25" s="205"/>
      <c r="BB25" s="124"/>
      <c r="BC25" s="211"/>
      <c r="BD25" s="18"/>
      <c r="BH25">
        <f t="shared" si="17"/>
        <v>4000</v>
      </c>
      <c r="BI25" s="269">
        <f t="shared" si="2"/>
        <v>3494.4</v>
      </c>
      <c r="BJ25" s="269">
        <v>4000</v>
      </c>
      <c r="BK25" s="269">
        <f t="shared" si="10"/>
        <v>7494.4</v>
      </c>
      <c r="BL25" s="269">
        <f t="shared" si="11"/>
        <v>3494.4</v>
      </c>
      <c r="BP25" s="269">
        <f t="shared" si="12"/>
        <v>3494.4</v>
      </c>
      <c r="BQ25" s="269">
        <f t="shared" si="13"/>
        <v>3999.9999999999995</v>
      </c>
      <c r="BR25" s="222">
        <v>5120</v>
      </c>
      <c r="BS25" s="282">
        <f t="shared" si="14"/>
        <v>1.2800000000000002</v>
      </c>
      <c r="BT25" s="282"/>
      <c r="BW25" s="16"/>
      <c r="BX25" s="205"/>
      <c r="BY25" s="124"/>
      <c r="BZ25" s="124"/>
      <c r="CA25" s="18"/>
      <c r="CG25" s="16"/>
      <c r="CH25" s="205"/>
      <c r="CI25" s="200"/>
      <c r="CJ25" s="124"/>
      <c r="CK25" s="18"/>
      <c r="CQ25" s="16"/>
      <c r="CR25" s="205"/>
      <c r="CS25" s="114"/>
      <c r="CT25" s="124"/>
      <c r="CU25" s="18"/>
      <c r="DA25" s="16"/>
      <c r="DB25" s="205"/>
      <c r="DC25" s="200"/>
      <c r="DD25" s="124"/>
      <c r="DE25" s="18"/>
      <c r="DK25" s="16"/>
      <c r="DL25" s="205"/>
      <c r="DM25" s="200"/>
      <c r="DN25" s="124"/>
      <c r="DO25" s="18"/>
      <c r="DU25" s="16"/>
      <c r="DV25" s="205"/>
      <c r="DW25" s="200"/>
      <c r="DX25" s="211"/>
      <c r="DY25" s="18"/>
      <c r="EE25" s="16"/>
      <c r="EF25" s="205"/>
      <c r="EG25" s="200"/>
      <c r="EH25" s="124"/>
      <c r="EI25" s="18"/>
      <c r="EO25" s="16"/>
      <c r="EP25" s="205"/>
      <c r="EQ25" s="200"/>
      <c r="ER25" s="124"/>
      <c r="ES25" s="18"/>
      <c r="FF25" s="16"/>
      <c r="FG25" s="2"/>
      <c r="FH25" s="124"/>
      <c r="FI25" s="1"/>
      <c r="FJ25" s="18"/>
      <c r="FP25" s="16"/>
      <c r="FQ25" s="2"/>
      <c r="FR25" s="105"/>
      <c r="FS25" s="1"/>
      <c r="FT25" s="18"/>
    </row>
    <row r="26" spans="2:178" x14ac:dyDescent="0.35">
      <c r="C26" s="74" t="s">
        <v>138</v>
      </c>
      <c r="D26" s="16"/>
      <c r="E26" s="205"/>
      <c r="F26" s="81" t="s">
        <v>139</v>
      </c>
      <c r="G26" s="211"/>
      <c r="H26" s="18"/>
      <c r="I26" t="s">
        <v>62</v>
      </c>
      <c r="L26" s="271">
        <f>S23</f>
        <v>4390.287850448979</v>
      </c>
      <c r="M26" s="271"/>
      <c r="O26" s="272">
        <f t="shared" si="0"/>
        <v>3835.3554661522285</v>
      </c>
      <c r="P26" s="269">
        <f t="shared" si="3"/>
        <v>3835.3554661522285</v>
      </c>
      <c r="Q26" s="269">
        <f t="shared" si="4"/>
        <v>0</v>
      </c>
      <c r="AC26" s="74" t="s">
        <v>138</v>
      </c>
      <c r="AD26" s="16"/>
      <c r="AE26" s="90"/>
      <c r="AF26" s="124"/>
      <c r="AG26" s="93"/>
      <c r="AH26" s="18"/>
      <c r="AI26" t="s">
        <v>62</v>
      </c>
      <c r="AL26">
        <f t="shared" ref="AL26:AL37" si="18">AL25+500</f>
        <v>4500</v>
      </c>
      <c r="AM26" s="269">
        <f t="shared" ref="AM26:AM37" si="19">0.052*16.8*AL26</f>
        <v>3931.2000000000003</v>
      </c>
      <c r="AN26" s="269">
        <v>4000</v>
      </c>
      <c r="AO26" s="269">
        <f t="shared" si="5"/>
        <v>7931.2000000000007</v>
      </c>
      <c r="AP26" s="269">
        <f t="shared" si="6"/>
        <v>3931.2000000000003</v>
      </c>
      <c r="AQ26" s="269"/>
      <c r="AR26" s="269"/>
      <c r="AS26" s="269">
        <f t="shared" si="7"/>
        <v>3931.2000000000003</v>
      </c>
      <c r="AT26" s="269">
        <f t="shared" si="8"/>
        <v>4000.0000000000005</v>
      </c>
      <c r="AU26" s="222">
        <v>5120</v>
      </c>
      <c r="AV26" s="282">
        <f t="shared" si="9"/>
        <v>1.2799999999999998</v>
      </c>
      <c r="AZ26" s="16"/>
      <c r="BA26" s="90"/>
      <c r="BB26" s="124"/>
      <c r="BC26" s="93"/>
      <c r="BD26" s="18"/>
      <c r="BF26" t="s">
        <v>159</v>
      </c>
      <c r="BH26">
        <f>BH25+500</f>
        <v>4500</v>
      </c>
      <c r="BI26" s="269">
        <f t="shared" ref="BI26:BI37" si="20">0.052*16.8*BH26</f>
        <v>3931.2000000000003</v>
      </c>
      <c r="BJ26" s="269">
        <v>4000</v>
      </c>
      <c r="BK26" s="269">
        <f t="shared" si="10"/>
        <v>7931.2000000000007</v>
      </c>
      <c r="BL26" s="269">
        <f t="shared" si="11"/>
        <v>3931.2000000000003</v>
      </c>
      <c r="BP26" s="269">
        <f t="shared" si="12"/>
        <v>3931.2000000000003</v>
      </c>
      <c r="BQ26" s="269">
        <f t="shared" si="13"/>
        <v>4000.0000000000005</v>
      </c>
      <c r="BR26" s="222">
        <v>5120</v>
      </c>
      <c r="BS26" s="282">
        <f t="shared" si="14"/>
        <v>1.2799999999999998</v>
      </c>
      <c r="BT26" s="282"/>
      <c r="BW26" s="16"/>
      <c r="BX26" s="90"/>
      <c r="BY26" s="124"/>
      <c r="BZ26" s="93"/>
      <c r="CA26" s="18"/>
      <c r="CG26" s="16"/>
      <c r="CH26" s="90"/>
      <c r="CI26" s="200"/>
      <c r="CJ26" s="93"/>
      <c r="CK26" s="18"/>
      <c r="CQ26" s="16"/>
      <c r="CR26" s="90"/>
      <c r="CS26" s="114"/>
      <c r="CT26" s="93"/>
      <c r="CU26" s="18"/>
      <c r="DA26" s="16"/>
      <c r="DB26" s="90"/>
      <c r="DC26" s="200"/>
      <c r="DD26" s="93"/>
      <c r="DE26" s="18"/>
      <c r="DK26" s="16"/>
      <c r="DL26" s="90"/>
      <c r="DM26" s="200"/>
      <c r="DN26" s="93"/>
      <c r="DO26" s="18"/>
      <c r="DU26" s="16"/>
      <c r="DV26" s="90"/>
      <c r="DW26" s="200"/>
      <c r="DX26" s="93"/>
      <c r="DY26" s="18"/>
      <c r="EE26" s="16"/>
      <c r="EF26" s="90"/>
      <c r="EG26" s="200"/>
      <c r="EH26" s="93"/>
      <c r="EI26" s="18"/>
      <c r="EO26" s="16"/>
      <c r="EP26" s="90"/>
      <c r="EQ26" s="200"/>
      <c r="ER26" s="93"/>
      <c r="ES26" s="18"/>
      <c r="FF26" s="16"/>
      <c r="FG26" s="90"/>
      <c r="FH26" s="124"/>
      <c r="FI26" s="93"/>
      <c r="FJ26" s="18"/>
      <c r="FP26" s="16"/>
      <c r="FQ26" s="90"/>
      <c r="FR26" s="105"/>
      <c r="FS26" s="93"/>
      <c r="FT26" s="18"/>
    </row>
    <row r="27" spans="2:178" x14ac:dyDescent="0.35">
      <c r="D27" s="16"/>
      <c r="E27" s="205"/>
      <c r="F27" s="81" t="s">
        <v>140</v>
      </c>
      <c r="G27" s="211"/>
      <c r="H27" s="18"/>
      <c r="L27">
        <f>L25+500</f>
        <v>4500</v>
      </c>
      <c r="M27" s="268">
        <f>L27-$L$26</f>
        <v>109.71214955102096</v>
      </c>
      <c r="N27">
        <f>0.052*16.5*M27</f>
        <v>94.13302431477598</v>
      </c>
      <c r="O27" s="269">
        <f>N27+$O$26</f>
        <v>3929.4884904670043</v>
      </c>
      <c r="P27" s="269">
        <f t="shared" si="3"/>
        <v>3931.2000000000003</v>
      </c>
      <c r="Q27" s="269">
        <f t="shared" si="4"/>
        <v>-1.7115095329959331</v>
      </c>
      <c r="AD27" s="16"/>
      <c r="AE27" s="90"/>
      <c r="AF27" s="124"/>
      <c r="AG27" s="93"/>
      <c r="AH27" s="18"/>
      <c r="AL27" s="270">
        <f t="shared" si="18"/>
        <v>5000</v>
      </c>
      <c r="AM27" s="281">
        <f t="shared" si="19"/>
        <v>4368</v>
      </c>
      <c r="AN27" s="281">
        <v>4000</v>
      </c>
      <c r="AO27" s="281">
        <f t="shared" si="5"/>
        <v>8368</v>
      </c>
      <c r="AP27" s="281">
        <f t="shared" si="6"/>
        <v>4368</v>
      </c>
      <c r="AQ27" s="278" t="s">
        <v>154</v>
      </c>
      <c r="AR27" s="278" t="s">
        <v>155</v>
      </c>
      <c r="AS27" s="269">
        <f t="shared" si="7"/>
        <v>4368</v>
      </c>
      <c r="AT27" s="269">
        <f t="shared" si="8"/>
        <v>4000</v>
      </c>
      <c r="AU27" s="222">
        <v>5120</v>
      </c>
      <c r="AV27" s="282">
        <f t="shared" si="9"/>
        <v>1.28</v>
      </c>
      <c r="AZ27" s="16"/>
      <c r="BA27" s="90"/>
      <c r="BB27" s="124"/>
      <c r="BC27" s="93"/>
      <c r="BD27" s="18"/>
      <c r="BH27" s="270">
        <f>BH26+500</f>
        <v>5000</v>
      </c>
      <c r="BI27" s="281">
        <f t="shared" si="20"/>
        <v>4368</v>
      </c>
      <c r="BJ27" s="281">
        <v>4000</v>
      </c>
      <c r="BK27" s="281">
        <f t="shared" si="10"/>
        <v>8368</v>
      </c>
      <c r="BL27" s="281">
        <f t="shared" si="11"/>
        <v>4368</v>
      </c>
      <c r="BP27" s="269">
        <f t="shared" si="12"/>
        <v>4368</v>
      </c>
      <c r="BQ27" s="269">
        <f t="shared" si="13"/>
        <v>4000</v>
      </c>
      <c r="BR27" s="222">
        <v>5120</v>
      </c>
      <c r="BS27" s="282">
        <f t="shared" si="14"/>
        <v>1.28</v>
      </c>
      <c r="BT27" s="282"/>
      <c r="BW27" s="16"/>
      <c r="BX27" s="90"/>
      <c r="BY27" s="124"/>
      <c r="BZ27" s="93"/>
      <c r="CA27" s="18"/>
      <c r="CG27" s="16"/>
      <c r="CH27" s="90"/>
      <c r="CI27" s="200"/>
      <c r="CJ27" s="93"/>
      <c r="CK27" s="18"/>
      <c r="CQ27" s="16"/>
      <c r="CR27" s="90"/>
      <c r="CS27" s="114"/>
      <c r="CT27" s="93"/>
      <c r="CU27" s="18"/>
      <c r="DA27" s="16"/>
      <c r="DB27" s="90"/>
      <c r="DC27" s="200"/>
      <c r="DD27" s="93"/>
      <c r="DE27" s="18"/>
      <c r="DK27" s="16"/>
      <c r="DL27" s="90"/>
      <c r="DM27" s="200"/>
      <c r="DN27" s="93"/>
      <c r="DO27" s="18"/>
      <c r="DU27" s="16"/>
      <c r="DV27" s="90"/>
      <c r="DW27" s="200"/>
      <c r="DX27" s="93"/>
      <c r="DY27" s="18"/>
      <c r="EE27" s="16"/>
      <c r="EF27" s="90"/>
      <c r="EG27" s="200"/>
      <c r="EH27" s="93"/>
      <c r="EI27" s="18"/>
      <c r="EO27" s="16"/>
      <c r="EP27" s="90"/>
      <c r="EQ27" s="200"/>
      <c r="ER27" s="93"/>
      <c r="ES27" s="18"/>
      <c r="FF27" s="16"/>
      <c r="FG27" s="90"/>
      <c r="FH27" s="124"/>
      <c r="FI27" s="93"/>
      <c r="FJ27" s="18"/>
      <c r="FP27" s="16"/>
      <c r="FQ27" s="90"/>
      <c r="FR27" s="105"/>
      <c r="FS27" s="93"/>
      <c r="FT27" s="18"/>
    </row>
    <row r="28" spans="2:178" x14ac:dyDescent="0.35">
      <c r="D28" s="16"/>
      <c r="E28" s="205"/>
      <c r="F28" s="80"/>
      <c r="G28" s="211"/>
      <c r="H28" s="18"/>
      <c r="J28" t="s">
        <v>137</v>
      </c>
      <c r="L28">
        <f t="shared" ref="L28:L38" si="21">L27+500</f>
        <v>5000</v>
      </c>
      <c r="M28" s="268">
        <f t="shared" ref="M28:M38" si="22">L28-$L$26</f>
        <v>609.71214955102096</v>
      </c>
      <c r="N28">
        <f t="shared" ref="N28:N38" si="23">0.052*16.5*M28</f>
        <v>523.13302431477598</v>
      </c>
      <c r="O28" s="269">
        <f t="shared" ref="O28:O38" si="24">N28+$O$26</f>
        <v>4358.4884904670043</v>
      </c>
      <c r="P28" s="269">
        <f t="shared" si="3"/>
        <v>4368</v>
      </c>
      <c r="Q28" s="269">
        <f t="shared" si="4"/>
        <v>-9.5115095329956603</v>
      </c>
      <c r="AD28" s="16"/>
      <c r="AE28" s="90"/>
      <c r="AF28" s="124"/>
      <c r="AG28" s="93"/>
      <c r="AH28" s="18"/>
      <c r="AJ28" t="s">
        <v>137</v>
      </c>
      <c r="AL28">
        <f t="shared" si="18"/>
        <v>5500</v>
      </c>
      <c r="AM28" s="269">
        <f t="shared" si="19"/>
        <v>4804.8</v>
      </c>
      <c r="AN28" s="269">
        <v>4000</v>
      </c>
      <c r="AO28" s="269">
        <f t="shared" si="5"/>
        <v>8804.7999999999993</v>
      </c>
      <c r="AP28" s="269"/>
      <c r="AQ28" s="269">
        <f>AL28-5000</f>
        <v>500</v>
      </c>
      <c r="AR28" s="269">
        <f>0.052*16.5*AQ28</f>
        <v>429</v>
      </c>
      <c r="AS28" s="269">
        <f>$AS$27+AR28</f>
        <v>4797</v>
      </c>
      <c r="AT28" s="269">
        <f t="shared" si="8"/>
        <v>4007.7999999999993</v>
      </c>
      <c r="AU28" s="222">
        <v>5120</v>
      </c>
      <c r="AV28" s="282">
        <f t="shared" si="9"/>
        <v>1.2775088577274318</v>
      </c>
      <c r="AZ28" s="16"/>
      <c r="BA28" s="90"/>
      <c r="BB28" s="124"/>
      <c r="BC28" s="93"/>
      <c r="BD28" s="18"/>
      <c r="BF28" t="s">
        <v>137</v>
      </c>
      <c r="BH28" s="283">
        <f>BH27+300</f>
        <v>5300</v>
      </c>
      <c r="BI28" s="284">
        <f t="shared" si="20"/>
        <v>4630.08</v>
      </c>
      <c r="BJ28" s="284">
        <v>4000</v>
      </c>
      <c r="BK28" s="284">
        <f t="shared" si="10"/>
        <v>8630.08</v>
      </c>
      <c r="BL28" s="284"/>
      <c r="BM28">
        <f>BH28-5000</f>
        <v>300</v>
      </c>
      <c r="BN28" s="268">
        <f>0.052*8.33*BM28</f>
        <v>129.94800000000001</v>
      </c>
      <c r="BO28" s="268"/>
      <c r="BP28" s="269">
        <f>BP27+BN28</f>
        <v>4497.9480000000003</v>
      </c>
      <c r="BQ28" s="269">
        <f t="shared" si="13"/>
        <v>4132.1319999999996</v>
      </c>
      <c r="BR28" s="222">
        <v>5120</v>
      </c>
      <c r="BS28" s="282">
        <f t="shared" si="14"/>
        <v>1.2390698070632788</v>
      </c>
      <c r="BT28" s="282"/>
      <c r="BW28" s="16"/>
      <c r="BX28" s="90"/>
      <c r="BY28" s="124"/>
      <c r="BZ28" s="93"/>
      <c r="CA28" s="18"/>
      <c r="CC28" t="s">
        <v>137</v>
      </c>
      <c r="CG28" s="16"/>
      <c r="CH28" s="90"/>
      <c r="CI28" s="200"/>
      <c r="CJ28" s="93"/>
      <c r="CK28" s="18"/>
      <c r="CM28" t="s">
        <v>137</v>
      </c>
      <c r="CQ28" s="16"/>
      <c r="CR28" s="90"/>
      <c r="CS28" s="114"/>
      <c r="CT28" s="93"/>
      <c r="CU28" s="18"/>
      <c r="CW28" t="s">
        <v>137</v>
      </c>
      <c r="DA28" s="16"/>
      <c r="DB28" s="90"/>
      <c r="DC28" s="200"/>
      <c r="DD28" s="93"/>
      <c r="DE28" s="18"/>
      <c r="DG28" t="s">
        <v>137</v>
      </c>
      <c r="DK28" s="16"/>
      <c r="DL28" s="90"/>
      <c r="DM28" s="200"/>
      <c r="DN28" s="93"/>
      <c r="DO28" s="18"/>
      <c r="DQ28" t="s">
        <v>137</v>
      </c>
      <c r="DU28" s="16"/>
      <c r="DV28" s="90"/>
      <c r="DW28" s="200"/>
      <c r="DX28" s="93"/>
      <c r="DY28" s="18"/>
      <c r="EA28" t="s">
        <v>137</v>
      </c>
      <c r="EE28" s="16"/>
      <c r="EF28" s="90"/>
      <c r="EG28" s="200"/>
      <c r="EH28" s="93"/>
      <c r="EI28" s="18"/>
      <c r="EK28" t="s">
        <v>137</v>
      </c>
      <c r="EO28" s="16"/>
      <c r="EP28" s="90"/>
      <c r="EQ28" s="200"/>
      <c r="ER28" s="93"/>
      <c r="ES28" s="18"/>
      <c r="EU28" t="s">
        <v>137</v>
      </c>
      <c r="FF28" s="16"/>
      <c r="FG28" s="90"/>
      <c r="FH28" s="124"/>
      <c r="FI28" s="93"/>
      <c r="FJ28" s="18"/>
      <c r="FP28" s="16"/>
      <c r="FQ28" s="90"/>
      <c r="FR28" s="105"/>
      <c r="FS28" s="93"/>
      <c r="FT28" s="18"/>
    </row>
    <row r="29" spans="2:178" x14ac:dyDescent="0.35">
      <c r="D29" s="64"/>
      <c r="E29" s="218"/>
      <c r="F29" s="81"/>
      <c r="G29" s="218"/>
      <c r="H29" s="71"/>
      <c r="I29" s="71"/>
      <c r="J29" s="71"/>
      <c r="L29">
        <f t="shared" si="21"/>
        <v>5500</v>
      </c>
      <c r="M29" s="268">
        <f t="shared" si="22"/>
        <v>1109.712149551021</v>
      </c>
      <c r="N29">
        <f t="shared" si="23"/>
        <v>952.13302431477598</v>
      </c>
      <c r="O29" s="269">
        <f t="shared" si="24"/>
        <v>4787.4884904670043</v>
      </c>
      <c r="P29" s="269">
        <f t="shared" si="3"/>
        <v>4804.8</v>
      </c>
      <c r="Q29" s="269">
        <f t="shared" si="4"/>
        <v>-17.311509532995842</v>
      </c>
      <c r="AD29" s="64"/>
      <c r="AE29" s="91"/>
      <c r="AF29" s="125"/>
      <c r="AG29" s="91"/>
      <c r="AH29" s="71"/>
      <c r="AI29" s="71"/>
      <c r="AJ29" s="71"/>
      <c r="AL29">
        <f t="shared" si="18"/>
        <v>6000</v>
      </c>
      <c r="AM29" s="269">
        <f t="shared" si="19"/>
        <v>5241.6000000000004</v>
      </c>
      <c r="AN29" s="269">
        <v>4000</v>
      </c>
      <c r="AO29" s="269">
        <f t="shared" si="5"/>
        <v>9241.6</v>
      </c>
      <c r="AP29" s="269"/>
      <c r="AQ29" s="269">
        <f t="shared" ref="AQ29:AQ37" si="25">AL29-5000</f>
        <v>1000</v>
      </c>
      <c r="AR29" s="269">
        <f t="shared" ref="AR29:AR37" si="26">0.052*16.5*AQ29</f>
        <v>858</v>
      </c>
      <c r="AS29" s="269">
        <f t="shared" ref="AS29:AS37" si="27">$AS$27+AR29</f>
        <v>5226</v>
      </c>
      <c r="AT29" s="269">
        <f t="shared" si="8"/>
        <v>4015.6000000000004</v>
      </c>
      <c r="AU29" s="222">
        <v>5120</v>
      </c>
      <c r="AV29" s="282">
        <f t="shared" si="9"/>
        <v>1.27502739316665</v>
      </c>
      <c r="AZ29" s="64"/>
      <c r="BA29" s="91"/>
      <c r="BB29" s="125"/>
      <c r="BC29" s="91"/>
      <c r="BD29" s="71"/>
      <c r="BE29" s="71"/>
      <c r="BF29" s="71"/>
      <c r="BH29">
        <v>6000</v>
      </c>
      <c r="BI29" s="269">
        <f t="shared" si="20"/>
        <v>5241.6000000000004</v>
      </c>
      <c r="BJ29" s="269">
        <v>4000</v>
      </c>
      <c r="BK29" s="269">
        <f t="shared" si="10"/>
        <v>9241.6</v>
      </c>
      <c r="BL29" s="269"/>
      <c r="BM29">
        <f>BH29-5300</f>
        <v>700</v>
      </c>
      <c r="BP29" s="269"/>
      <c r="BQ29" s="269"/>
      <c r="BR29" s="222">
        <v>5120</v>
      </c>
      <c r="BS29" s="282"/>
      <c r="BT29" s="282"/>
      <c r="BW29" s="64"/>
      <c r="BX29" s="91"/>
      <c r="BY29" s="125"/>
      <c r="BZ29" s="91"/>
      <c r="CA29" s="71"/>
      <c r="CB29" s="71"/>
      <c r="CC29" s="71"/>
      <c r="CG29" s="64"/>
      <c r="CH29" s="91"/>
      <c r="CI29" s="201"/>
      <c r="CJ29" s="91"/>
      <c r="CK29" s="71"/>
      <c r="CL29" s="71"/>
      <c r="CM29" s="71"/>
      <c r="CQ29" s="64"/>
      <c r="CR29" s="91"/>
      <c r="CS29" s="115"/>
      <c r="CT29" s="91"/>
      <c r="CU29" s="71"/>
      <c r="CV29" s="71"/>
      <c r="CW29" s="71"/>
      <c r="DA29" s="64"/>
      <c r="DB29" s="91"/>
      <c r="DC29" s="201"/>
      <c r="DD29" s="91"/>
      <c r="DE29" s="71"/>
      <c r="DF29" s="71"/>
      <c r="DG29" s="71"/>
      <c r="DK29" s="64"/>
      <c r="DL29" s="91"/>
      <c r="DM29" s="201"/>
      <c r="DN29" s="91"/>
      <c r="DO29" s="71"/>
      <c r="DP29" s="71"/>
      <c r="DQ29" s="71"/>
      <c r="DU29" s="64"/>
      <c r="DV29" s="91"/>
      <c r="DW29" s="201"/>
      <c r="DX29" s="91"/>
      <c r="DY29" s="71"/>
      <c r="DZ29" s="71"/>
      <c r="EA29" s="71"/>
      <c r="EE29" s="64"/>
      <c r="EF29" s="91"/>
      <c r="EG29" s="201"/>
      <c r="EH29" s="91"/>
      <c r="EI29" s="71"/>
      <c r="EJ29" s="71"/>
      <c r="EK29" s="71"/>
      <c r="EO29" s="64"/>
      <c r="EP29" s="91"/>
      <c r="EQ29" s="201"/>
      <c r="ER29" s="91"/>
      <c r="ES29" s="71"/>
      <c r="ET29" s="71"/>
      <c r="EU29" s="71"/>
      <c r="FF29" s="64"/>
      <c r="FG29" s="91"/>
      <c r="FH29" s="125"/>
      <c r="FI29" s="91"/>
      <c r="FJ29" s="71"/>
      <c r="FK29" s="71"/>
      <c r="FL29" s="71"/>
      <c r="FP29" s="64"/>
      <c r="FQ29" s="91"/>
      <c r="FR29" s="120"/>
      <c r="FS29" s="91"/>
      <c r="FT29" s="71"/>
      <c r="FU29" s="71"/>
      <c r="FV29" s="71"/>
    </row>
    <row r="30" spans="2:178" x14ac:dyDescent="0.35">
      <c r="E30" s="170"/>
      <c r="F30" s="81"/>
      <c r="G30" s="171"/>
      <c r="H30" s="71"/>
      <c r="I30" s="71"/>
      <c r="J30" s="71"/>
      <c r="L30">
        <f t="shared" si="21"/>
        <v>6000</v>
      </c>
      <c r="M30" s="268">
        <f t="shared" si="22"/>
        <v>1609.712149551021</v>
      </c>
      <c r="N30">
        <f t="shared" si="23"/>
        <v>1381.1330243147759</v>
      </c>
      <c r="O30" s="269">
        <f t="shared" si="24"/>
        <v>5216.4884904670043</v>
      </c>
      <c r="P30" s="269">
        <f t="shared" si="3"/>
        <v>5241.6000000000004</v>
      </c>
      <c r="Q30" s="269">
        <f t="shared" si="4"/>
        <v>-25.111509532996024</v>
      </c>
      <c r="AE30" s="26"/>
      <c r="AF30" s="125"/>
      <c r="AG30" s="25"/>
      <c r="AH30" s="71"/>
      <c r="AI30" s="71"/>
      <c r="AJ30" s="71"/>
      <c r="AL30">
        <f t="shared" si="18"/>
        <v>6500</v>
      </c>
      <c r="AM30" s="269">
        <f t="shared" si="19"/>
        <v>5678.4000000000005</v>
      </c>
      <c r="AN30" s="269">
        <v>4000</v>
      </c>
      <c r="AO30" s="269">
        <f t="shared" si="5"/>
        <v>9678.4000000000015</v>
      </c>
      <c r="AP30" s="269"/>
      <c r="AQ30" s="269">
        <f t="shared" si="25"/>
        <v>1500</v>
      </c>
      <c r="AR30" s="269">
        <f t="shared" si="26"/>
        <v>1287</v>
      </c>
      <c r="AS30" s="269">
        <f t="shared" si="27"/>
        <v>5655</v>
      </c>
      <c r="AT30" s="269">
        <f t="shared" si="8"/>
        <v>4023.4000000000015</v>
      </c>
      <c r="AU30" s="222">
        <v>5120</v>
      </c>
      <c r="AV30" s="282">
        <f t="shared" si="9"/>
        <v>1.2725555500323105</v>
      </c>
      <c r="BA30" s="26"/>
      <c r="BB30" s="125"/>
      <c r="BC30" s="25"/>
      <c r="BD30" s="71"/>
      <c r="BE30" s="71"/>
      <c r="BF30" s="71"/>
      <c r="BH30">
        <f t="shared" ref="BH30:BH37" si="28">BH29+500</f>
        <v>6500</v>
      </c>
      <c r="BI30" s="269">
        <f t="shared" si="20"/>
        <v>5678.4000000000005</v>
      </c>
      <c r="BJ30" s="269">
        <v>4000</v>
      </c>
      <c r="BK30" s="269">
        <f t="shared" si="10"/>
        <v>9678.4000000000015</v>
      </c>
      <c r="BL30" s="269"/>
      <c r="BM30">
        <f t="shared" ref="BM30:BM37" si="29">BH30-5300</f>
        <v>1200</v>
      </c>
      <c r="BP30" s="269"/>
      <c r="BQ30" s="269"/>
      <c r="BR30" s="222">
        <v>5120</v>
      </c>
      <c r="BS30" s="282"/>
      <c r="BT30" s="282"/>
      <c r="BX30" s="26"/>
      <c r="BY30" s="125"/>
      <c r="BZ30" s="25"/>
      <c r="CA30" s="71"/>
      <c r="CB30" s="71"/>
      <c r="CC30" s="71"/>
      <c r="CH30" s="26"/>
      <c r="CI30" s="201"/>
      <c r="CJ30" s="25"/>
      <c r="CK30" s="71"/>
      <c r="CL30" s="71"/>
      <c r="CM30" s="71"/>
      <c r="CR30" s="26"/>
      <c r="CS30" s="115"/>
      <c r="CT30" s="25"/>
      <c r="CU30" s="71"/>
      <c r="CV30" s="71"/>
      <c r="CW30" s="71"/>
      <c r="DB30" s="26"/>
      <c r="DC30" s="201"/>
      <c r="DD30" s="25"/>
      <c r="DE30" s="71"/>
      <c r="DF30" s="71"/>
      <c r="DG30" s="71"/>
      <c r="DL30" s="26"/>
      <c r="DM30" s="201"/>
      <c r="DN30" s="25"/>
      <c r="DP30" s="71"/>
      <c r="DQ30" s="71"/>
      <c r="DV30" s="26"/>
      <c r="DW30" s="201"/>
      <c r="DX30" s="25"/>
      <c r="DZ30" s="71"/>
      <c r="EA30" s="71"/>
      <c r="EF30" s="26"/>
      <c r="EG30" s="201"/>
      <c r="EH30" s="25"/>
      <c r="EJ30" s="71"/>
      <c r="EK30" s="71"/>
      <c r="EP30" s="26"/>
      <c r="EQ30" s="201"/>
      <c r="ER30" s="25"/>
      <c r="ES30" t="s">
        <v>37</v>
      </c>
      <c r="ET30" s="71"/>
      <c r="EU30" s="71"/>
      <c r="FG30" s="26"/>
      <c r="FH30" s="125"/>
      <c r="FI30" s="25"/>
      <c r="FJ30" s="71"/>
      <c r="FK30" s="71"/>
      <c r="FL30" s="71"/>
      <c r="FQ30" s="26"/>
      <c r="FR30" s="120"/>
      <c r="FS30" s="25"/>
      <c r="FT30" s="71"/>
      <c r="FU30" s="71"/>
      <c r="FV30" s="71"/>
    </row>
    <row r="31" spans="2:178" x14ac:dyDescent="0.35">
      <c r="E31" s="170"/>
      <c r="F31" s="267"/>
      <c r="G31" s="171"/>
      <c r="L31">
        <f t="shared" si="21"/>
        <v>6500</v>
      </c>
      <c r="M31" s="268">
        <f t="shared" si="22"/>
        <v>2109.712149551021</v>
      </c>
      <c r="N31">
        <f t="shared" si="23"/>
        <v>1810.1330243147759</v>
      </c>
      <c r="O31" s="269">
        <f t="shared" si="24"/>
        <v>5645.4884904670043</v>
      </c>
      <c r="P31" s="269">
        <f t="shared" si="3"/>
        <v>5678.4000000000005</v>
      </c>
      <c r="Q31" s="269">
        <f t="shared" si="4"/>
        <v>-32.911509532996206</v>
      </c>
      <c r="AE31" s="26"/>
      <c r="AF31" s="204" t="s">
        <v>55</v>
      </c>
      <c r="AG31" s="25"/>
      <c r="AH31" t="s">
        <v>57</v>
      </c>
      <c r="AL31">
        <f t="shared" si="18"/>
        <v>7000</v>
      </c>
      <c r="AM31" s="269">
        <f t="shared" si="19"/>
        <v>6115.2000000000007</v>
      </c>
      <c r="AN31" s="269">
        <v>4000</v>
      </c>
      <c r="AO31" s="269">
        <f t="shared" si="5"/>
        <v>10115.200000000001</v>
      </c>
      <c r="AP31" s="269"/>
      <c r="AQ31" s="269">
        <f t="shared" si="25"/>
        <v>2000</v>
      </c>
      <c r="AR31" s="269">
        <f t="shared" si="26"/>
        <v>1716</v>
      </c>
      <c r="AS31" s="269">
        <f t="shared" si="27"/>
        <v>6084</v>
      </c>
      <c r="AT31" s="269">
        <f t="shared" si="8"/>
        <v>4031.2000000000007</v>
      </c>
      <c r="AU31" s="222">
        <v>5120</v>
      </c>
      <c r="AV31" s="282">
        <f t="shared" si="9"/>
        <v>1.2700932724746972</v>
      </c>
      <c r="BA31" s="26"/>
      <c r="BB31" s="124"/>
      <c r="BC31" s="25"/>
      <c r="BD31" t="s">
        <v>52</v>
      </c>
      <c r="BH31">
        <f t="shared" si="28"/>
        <v>7000</v>
      </c>
      <c r="BI31" s="269">
        <f t="shared" si="20"/>
        <v>6115.2000000000007</v>
      </c>
      <c r="BJ31" s="269">
        <v>4000</v>
      </c>
      <c r="BK31" s="269">
        <f t="shared" si="10"/>
        <v>10115.200000000001</v>
      </c>
      <c r="BL31" s="269"/>
      <c r="BM31">
        <f t="shared" si="29"/>
        <v>1700</v>
      </c>
      <c r="BP31" s="269"/>
      <c r="BQ31" s="269"/>
      <c r="BR31" s="222">
        <v>5120</v>
      </c>
      <c r="BS31" s="282"/>
      <c r="BT31" s="282"/>
      <c r="BX31" s="26"/>
      <c r="BY31" s="124"/>
      <c r="BZ31" s="25"/>
      <c r="CH31" s="26"/>
      <c r="CI31" s="200"/>
      <c r="CJ31" s="25"/>
      <c r="CR31" s="26"/>
      <c r="CS31" s="114"/>
      <c r="CT31" s="25"/>
      <c r="DB31" s="26"/>
      <c r="DC31" s="200"/>
      <c r="DD31" s="25"/>
      <c r="DL31" s="26"/>
      <c r="DM31" s="200"/>
      <c r="DN31" s="25"/>
      <c r="DV31" s="26"/>
      <c r="DW31" s="200"/>
      <c r="DX31" s="25"/>
      <c r="EF31" s="26"/>
      <c r="EG31" s="200"/>
      <c r="EH31" s="25"/>
      <c r="EP31" s="26"/>
      <c r="EQ31" s="200"/>
      <c r="ER31" s="25"/>
      <c r="ES31" t="s">
        <v>38</v>
      </c>
      <c r="FG31" s="26"/>
      <c r="FH31" s="124"/>
      <c r="FI31" s="25" t="s">
        <v>41</v>
      </c>
      <c r="FQ31" s="26"/>
      <c r="FR31" s="105"/>
      <c r="FS31" s="25" t="s">
        <v>42</v>
      </c>
    </row>
    <row r="32" spans="2:178" x14ac:dyDescent="0.35">
      <c r="E32" s="170"/>
      <c r="F32" s="267"/>
      <c r="G32" s="171"/>
      <c r="H32" s="136"/>
      <c r="L32">
        <f t="shared" si="21"/>
        <v>7000</v>
      </c>
      <c r="M32" s="268">
        <f t="shared" si="22"/>
        <v>2609.712149551021</v>
      </c>
      <c r="N32">
        <f t="shared" si="23"/>
        <v>2239.1330243147759</v>
      </c>
      <c r="O32" s="269">
        <f t="shared" si="24"/>
        <v>6074.4884904670043</v>
      </c>
      <c r="P32" s="269">
        <f t="shared" si="3"/>
        <v>6115.2000000000007</v>
      </c>
      <c r="Q32" s="269">
        <f t="shared" si="4"/>
        <v>-40.711509532996388</v>
      </c>
      <c r="AE32" s="26"/>
      <c r="AF32" s="204" t="s">
        <v>141</v>
      </c>
      <c r="AG32" s="25"/>
      <c r="AH32" s="136" t="s">
        <v>58</v>
      </c>
      <c r="AL32">
        <f t="shared" si="18"/>
        <v>7500</v>
      </c>
      <c r="AM32" s="269">
        <f t="shared" si="19"/>
        <v>6552</v>
      </c>
      <c r="AN32" s="269">
        <v>4000</v>
      </c>
      <c r="AO32" s="269">
        <f t="shared" si="5"/>
        <v>10552</v>
      </c>
      <c r="AP32" s="269"/>
      <c r="AQ32" s="269">
        <f t="shared" si="25"/>
        <v>2500</v>
      </c>
      <c r="AR32" s="269">
        <f t="shared" si="26"/>
        <v>2145</v>
      </c>
      <c r="AS32" s="269">
        <f t="shared" si="27"/>
        <v>6513</v>
      </c>
      <c r="AT32" s="269">
        <f t="shared" si="8"/>
        <v>4039</v>
      </c>
      <c r="AU32" s="222">
        <v>5120</v>
      </c>
      <c r="AV32" s="282">
        <f t="shared" si="9"/>
        <v>1.2676405050755137</v>
      </c>
      <c r="BA32" s="26"/>
      <c r="BB32" s="124"/>
      <c r="BC32" s="25"/>
      <c r="BD32" t="s">
        <v>51</v>
      </c>
      <c r="BH32">
        <f t="shared" si="28"/>
        <v>7500</v>
      </c>
      <c r="BI32" s="269">
        <f t="shared" si="20"/>
        <v>6552</v>
      </c>
      <c r="BJ32" s="269">
        <v>4000</v>
      </c>
      <c r="BK32" s="269">
        <f t="shared" si="10"/>
        <v>10552</v>
      </c>
      <c r="BL32" s="269"/>
      <c r="BM32">
        <f t="shared" si="29"/>
        <v>2200</v>
      </c>
      <c r="BP32" s="269"/>
      <c r="BQ32" s="269"/>
      <c r="BR32" s="222">
        <v>5120</v>
      </c>
      <c r="BS32" s="282"/>
      <c r="BT32" s="282"/>
      <c r="BX32" s="26"/>
      <c r="BY32" s="124"/>
      <c r="BZ32" s="25"/>
      <c r="CH32" s="26"/>
      <c r="CI32" s="200"/>
      <c r="CJ32" s="25"/>
      <c r="CR32" s="26"/>
      <c r="CS32" s="114"/>
      <c r="CT32" s="25"/>
      <c r="DB32" s="26"/>
      <c r="DC32" s="200"/>
      <c r="DD32" s="25"/>
      <c r="DL32" s="26"/>
      <c r="DM32" s="200"/>
      <c r="DN32" s="25"/>
      <c r="DV32" s="26"/>
      <c r="DW32" s="200"/>
      <c r="DX32" s="25"/>
      <c r="EF32" s="26"/>
      <c r="EG32" s="200"/>
      <c r="EH32" s="25"/>
      <c r="EP32" s="26"/>
      <c r="EQ32" s="200"/>
      <c r="ER32" s="25"/>
      <c r="ES32" t="s">
        <v>35</v>
      </c>
      <c r="FG32" s="26"/>
      <c r="FH32" s="124"/>
      <c r="FI32" s="25"/>
      <c r="FQ32" s="26"/>
      <c r="FR32" s="105"/>
      <c r="FS32" s="25"/>
    </row>
    <row r="33" spans="2:178" x14ac:dyDescent="0.35">
      <c r="E33" s="170"/>
      <c r="F33" s="80"/>
      <c r="G33" s="171"/>
      <c r="H33" s="292"/>
      <c r="I33" s="292"/>
      <c r="J33" s="292"/>
      <c r="L33">
        <f t="shared" si="21"/>
        <v>7500</v>
      </c>
      <c r="M33" s="268">
        <f t="shared" si="22"/>
        <v>3109.712149551021</v>
      </c>
      <c r="N33">
        <f t="shared" si="23"/>
        <v>2668.1330243147759</v>
      </c>
      <c r="O33" s="269">
        <f t="shared" si="24"/>
        <v>6503.4884904670043</v>
      </c>
      <c r="P33" s="269">
        <f t="shared" si="3"/>
        <v>6552</v>
      </c>
      <c r="Q33" s="269">
        <f t="shared" si="4"/>
        <v>-48.51150953299566</v>
      </c>
      <c r="AE33" s="26"/>
      <c r="AF33" s="124"/>
      <c r="AG33" s="25"/>
      <c r="AH33" s="292"/>
      <c r="AI33" s="292"/>
      <c r="AJ33" s="292"/>
      <c r="AL33">
        <f t="shared" si="18"/>
        <v>8000</v>
      </c>
      <c r="AM33" s="269">
        <f t="shared" si="19"/>
        <v>6988.8</v>
      </c>
      <c r="AN33" s="269">
        <v>4000</v>
      </c>
      <c r="AO33" s="269">
        <f t="shared" si="5"/>
        <v>10988.8</v>
      </c>
      <c r="AP33" s="269"/>
      <c r="AQ33" s="269">
        <f t="shared" si="25"/>
        <v>3000</v>
      </c>
      <c r="AR33" s="269">
        <f t="shared" si="26"/>
        <v>2574</v>
      </c>
      <c r="AS33" s="269">
        <f t="shared" si="27"/>
        <v>6942</v>
      </c>
      <c r="AT33" s="269">
        <f t="shared" si="8"/>
        <v>4046.7999999999993</v>
      </c>
      <c r="AU33" s="222">
        <v>5120</v>
      </c>
      <c r="AV33" s="282">
        <f t="shared" si="9"/>
        <v>1.2651971928437287</v>
      </c>
      <c r="BA33" s="26"/>
      <c r="BB33" s="124"/>
      <c r="BC33" s="25"/>
      <c r="BD33" s="292"/>
      <c r="BE33" s="292"/>
      <c r="BF33" s="292"/>
      <c r="BH33">
        <f t="shared" si="28"/>
        <v>8000</v>
      </c>
      <c r="BI33" s="269">
        <f t="shared" si="20"/>
        <v>6988.8</v>
      </c>
      <c r="BJ33" s="269">
        <v>4000</v>
      </c>
      <c r="BK33" s="269">
        <f t="shared" si="10"/>
        <v>10988.8</v>
      </c>
      <c r="BL33" s="269"/>
      <c r="BM33">
        <f t="shared" si="29"/>
        <v>2700</v>
      </c>
      <c r="BP33" s="269"/>
      <c r="BQ33" s="269"/>
      <c r="BR33" s="222">
        <v>5120</v>
      </c>
      <c r="BS33" s="282"/>
      <c r="BT33" s="282"/>
      <c r="BX33" s="26"/>
      <c r="BY33" s="124"/>
      <c r="BZ33" s="25"/>
      <c r="CA33" s="292"/>
      <c r="CB33" s="292"/>
      <c r="CC33" s="292"/>
      <c r="CH33" s="26"/>
      <c r="CI33" s="200"/>
      <c r="CJ33" s="25"/>
      <c r="CK33" s="292"/>
      <c r="CL33" s="292"/>
      <c r="CM33" s="292"/>
      <c r="CR33" s="26"/>
      <c r="CS33" s="114"/>
      <c r="CT33" s="25"/>
      <c r="CU33" s="292"/>
      <c r="CV33" s="292"/>
      <c r="CW33" s="292"/>
      <c r="DB33" s="26"/>
      <c r="DC33" s="200"/>
      <c r="DD33" s="25"/>
      <c r="DE33" s="292"/>
      <c r="DF33" s="292"/>
      <c r="DG33" s="292"/>
      <c r="DL33" s="26"/>
      <c r="DM33" s="224"/>
      <c r="DN33" s="25"/>
      <c r="DO33" s="85" t="s">
        <v>39</v>
      </c>
      <c r="DP33" s="85"/>
      <c r="DQ33" s="85"/>
      <c r="DV33" s="26"/>
      <c r="DW33" s="122"/>
      <c r="DX33" s="25"/>
      <c r="DY33" s="85" t="s">
        <v>39</v>
      </c>
      <c r="DZ33" s="85"/>
      <c r="EA33" s="85"/>
      <c r="EF33" s="26"/>
      <c r="EG33" s="224"/>
      <c r="EH33" s="25"/>
      <c r="EI33" s="85" t="s">
        <v>39</v>
      </c>
      <c r="EJ33" s="85"/>
      <c r="EK33" s="85"/>
      <c r="EP33" s="26"/>
      <c r="EQ33" s="122"/>
      <c r="ER33" s="25"/>
      <c r="ES33" s="292"/>
      <c r="ET33" s="292"/>
      <c r="EU33" s="292"/>
      <c r="FG33" s="26"/>
      <c r="FH33" s="124"/>
      <c r="FI33" s="25"/>
      <c r="FJ33" s="292"/>
      <c r="FK33" s="292"/>
      <c r="FL33" s="292"/>
      <c r="FQ33" s="26"/>
      <c r="FR33" s="105"/>
      <c r="FS33" s="25"/>
      <c r="FT33" s="292"/>
      <c r="FU33" s="292"/>
      <c r="FV33" s="292"/>
    </row>
    <row r="34" spans="2:178" x14ac:dyDescent="0.35">
      <c r="E34" s="170"/>
      <c r="F34" s="80"/>
      <c r="G34" s="171"/>
      <c r="H34" s="292"/>
      <c r="I34" s="292"/>
      <c r="J34" s="292"/>
      <c r="L34">
        <f t="shared" si="21"/>
        <v>8000</v>
      </c>
      <c r="M34" s="268">
        <f t="shared" si="22"/>
        <v>3609.712149551021</v>
      </c>
      <c r="N34">
        <f t="shared" si="23"/>
        <v>3097.1330243147759</v>
      </c>
      <c r="O34" s="269">
        <f t="shared" si="24"/>
        <v>6932.4884904670043</v>
      </c>
      <c r="P34" s="269">
        <f t="shared" si="3"/>
        <v>6988.8</v>
      </c>
      <c r="Q34" s="269">
        <f t="shared" si="4"/>
        <v>-56.311509532995842</v>
      </c>
      <c r="AE34" s="26"/>
      <c r="AF34" s="124"/>
      <c r="AG34" s="25"/>
      <c r="AH34" s="292"/>
      <c r="AI34" s="292"/>
      <c r="AJ34" s="292"/>
      <c r="AL34">
        <f t="shared" si="18"/>
        <v>8500</v>
      </c>
      <c r="AM34" s="269">
        <f t="shared" si="19"/>
        <v>7425.6</v>
      </c>
      <c r="AN34" s="269">
        <v>4000</v>
      </c>
      <c r="AO34" s="269">
        <f t="shared" si="5"/>
        <v>11425.6</v>
      </c>
      <c r="AP34" s="269"/>
      <c r="AQ34" s="269">
        <f t="shared" si="25"/>
        <v>3500</v>
      </c>
      <c r="AR34" s="269">
        <f t="shared" si="26"/>
        <v>3003</v>
      </c>
      <c r="AS34" s="269">
        <f t="shared" si="27"/>
        <v>7371</v>
      </c>
      <c r="AT34" s="269">
        <f t="shared" si="8"/>
        <v>4054.6000000000004</v>
      </c>
      <c r="AU34" s="222">
        <v>5120</v>
      </c>
      <c r="AV34" s="282">
        <f t="shared" si="9"/>
        <v>1.2627632812114633</v>
      </c>
      <c r="BA34" s="26"/>
      <c r="BB34" s="124"/>
      <c r="BC34" s="25"/>
      <c r="BD34" s="292"/>
      <c r="BE34" s="292"/>
      <c r="BF34" s="292"/>
      <c r="BH34">
        <f t="shared" si="28"/>
        <v>8500</v>
      </c>
      <c r="BI34" s="269">
        <f t="shared" si="20"/>
        <v>7425.6</v>
      </c>
      <c r="BJ34" s="269">
        <v>4000</v>
      </c>
      <c r="BK34" s="269">
        <f t="shared" si="10"/>
        <v>11425.6</v>
      </c>
      <c r="BL34" s="269"/>
      <c r="BM34">
        <f t="shared" si="29"/>
        <v>3200</v>
      </c>
      <c r="BP34" s="269"/>
      <c r="BQ34" s="269"/>
      <c r="BR34" s="222">
        <v>5120</v>
      </c>
      <c r="BS34" s="282"/>
      <c r="BT34" s="282"/>
      <c r="BX34" s="26"/>
      <c r="BY34" s="124"/>
      <c r="BZ34" s="25"/>
      <c r="CA34" s="292"/>
      <c r="CB34" s="292"/>
      <c r="CC34" s="292"/>
      <c r="CH34" s="26"/>
      <c r="CI34" s="200"/>
      <c r="CJ34" s="25"/>
      <c r="CK34" s="292"/>
      <c r="CL34" s="292"/>
      <c r="CM34" s="292"/>
      <c r="CR34" s="26"/>
      <c r="CS34" s="114"/>
      <c r="CT34" s="25"/>
      <c r="CU34" s="292"/>
      <c r="CV34" s="292"/>
      <c r="CW34" s="292"/>
      <c r="DB34" s="26"/>
      <c r="DC34" s="200"/>
      <c r="DD34" s="25"/>
      <c r="DE34" s="292"/>
      <c r="DF34" s="292"/>
      <c r="DG34" s="292"/>
      <c r="DL34" s="26"/>
      <c r="DM34" s="200"/>
      <c r="DN34" s="25"/>
      <c r="DO34" s="85"/>
      <c r="DP34" s="85"/>
      <c r="DQ34" s="85"/>
      <c r="DV34" s="26"/>
      <c r="DW34" s="105"/>
      <c r="DX34" s="25"/>
      <c r="DY34" s="85"/>
      <c r="DZ34" s="85"/>
      <c r="EA34" s="85"/>
      <c r="EF34" s="26"/>
      <c r="EG34" s="105"/>
      <c r="EH34" s="25"/>
      <c r="EI34" s="85"/>
      <c r="EJ34" s="85"/>
      <c r="EK34" s="85"/>
      <c r="EP34" s="26"/>
      <c r="EQ34" s="105"/>
      <c r="ER34" s="25"/>
      <c r="ES34" s="292"/>
      <c r="ET34" s="292"/>
      <c r="EU34" s="292"/>
      <c r="FG34" s="26"/>
      <c r="FH34" s="124"/>
      <c r="FI34" s="25"/>
      <c r="FJ34" s="292"/>
      <c r="FK34" s="292"/>
      <c r="FL34" s="292"/>
      <c r="FQ34" s="26"/>
      <c r="FR34" s="105"/>
      <c r="FS34" s="25"/>
      <c r="FT34" s="292"/>
      <c r="FU34" s="292"/>
      <c r="FV34" s="292"/>
    </row>
    <row r="35" spans="2:178" x14ac:dyDescent="0.35">
      <c r="B35" s="58"/>
      <c r="C35" s="58"/>
      <c r="D35" s="58"/>
      <c r="E35" s="170"/>
      <c r="F35" s="80"/>
      <c r="G35" s="171"/>
      <c r="H35" s="58"/>
      <c r="I35" s="58"/>
      <c r="J35" s="58"/>
      <c r="L35">
        <f t="shared" si="21"/>
        <v>8500</v>
      </c>
      <c r="M35" s="268">
        <f t="shared" si="22"/>
        <v>4109.712149551021</v>
      </c>
      <c r="N35">
        <f t="shared" si="23"/>
        <v>3526.1330243147759</v>
      </c>
      <c r="O35" s="269">
        <f t="shared" si="24"/>
        <v>7361.4884904670043</v>
      </c>
      <c r="P35" s="269">
        <f t="shared" si="3"/>
        <v>7425.6</v>
      </c>
      <c r="Q35" s="269">
        <f t="shared" si="4"/>
        <v>-64.111509532996024</v>
      </c>
      <c r="AB35" s="58"/>
      <c r="AC35" s="58"/>
      <c r="AD35" s="58"/>
      <c r="AE35" s="26"/>
      <c r="AF35" s="124"/>
      <c r="AG35" s="25"/>
      <c r="AH35" s="58"/>
      <c r="AI35" s="58"/>
      <c r="AJ35" s="58"/>
      <c r="AL35">
        <f t="shared" si="18"/>
        <v>9000</v>
      </c>
      <c r="AM35" s="269">
        <f t="shared" si="19"/>
        <v>7862.4000000000005</v>
      </c>
      <c r="AN35" s="269">
        <v>4000</v>
      </c>
      <c r="AO35" s="269">
        <f t="shared" si="5"/>
        <v>11862.400000000001</v>
      </c>
      <c r="AP35" s="269"/>
      <c r="AQ35" s="269">
        <f t="shared" si="25"/>
        <v>4000</v>
      </c>
      <c r="AR35" s="269">
        <f t="shared" si="26"/>
        <v>3432</v>
      </c>
      <c r="AS35" s="269">
        <f t="shared" si="27"/>
        <v>7800</v>
      </c>
      <c r="AT35" s="269">
        <f t="shared" si="8"/>
        <v>4062.4000000000015</v>
      </c>
      <c r="AU35" s="222">
        <v>5120</v>
      </c>
      <c r="AV35" s="282">
        <f t="shared" si="9"/>
        <v>1.2603387160299326</v>
      </c>
      <c r="AX35" s="58"/>
      <c r="AY35" s="58"/>
      <c r="AZ35" s="58"/>
      <c r="BA35" s="92"/>
      <c r="BB35" s="124"/>
      <c r="BC35" s="94"/>
      <c r="BD35" s="58"/>
      <c r="BE35" s="58"/>
      <c r="BF35" s="58"/>
      <c r="BH35">
        <f t="shared" si="28"/>
        <v>9000</v>
      </c>
      <c r="BI35" s="269">
        <f t="shared" si="20"/>
        <v>7862.4000000000005</v>
      </c>
      <c r="BJ35" s="269">
        <v>4000</v>
      </c>
      <c r="BK35" s="269">
        <f t="shared" si="10"/>
        <v>11862.400000000001</v>
      </c>
      <c r="BL35" s="269"/>
      <c r="BM35">
        <f t="shared" si="29"/>
        <v>3700</v>
      </c>
      <c r="BP35" s="269"/>
      <c r="BQ35" s="269"/>
      <c r="BR35" s="222">
        <v>5120</v>
      </c>
      <c r="BS35" s="282"/>
      <c r="BT35" s="282"/>
      <c r="BU35" s="58"/>
      <c r="BV35" s="58"/>
      <c r="BW35" s="58"/>
      <c r="BX35" s="92"/>
      <c r="BY35" s="124"/>
      <c r="BZ35" s="94"/>
      <c r="CA35" s="58"/>
      <c r="CB35" s="58"/>
      <c r="CC35" s="58"/>
      <c r="CE35" s="58"/>
      <c r="CF35" s="58"/>
      <c r="CG35" s="58"/>
      <c r="CH35" s="92"/>
      <c r="CI35" s="200"/>
      <c r="CJ35" s="94"/>
      <c r="CK35" s="58"/>
      <c r="CL35" s="58"/>
      <c r="CM35" s="58"/>
      <c r="CO35" s="58"/>
      <c r="CP35" s="58"/>
      <c r="CQ35" s="58"/>
      <c r="CR35" s="92"/>
      <c r="CS35" s="114"/>
      <c r="CT35" s="94"/>
      <c r="CU35" s="58"/>
      <c r="CV35" s="58"/>
      <c r="CW35" s="58"/>
      <c r="CY35" s="58"/>
      <c r="CZ35" s="58"/>
      <c r="DA35" s="58"/>
      <c r="DB35" s="92"/>
      <c r="DC35" s="203" t="s">
        <v>31</v>
      </c>
      <c r="DD35" s="94"/>
      <c r="DE35" s="58"/>
      <c r="DF35" s="58"/>
      <c r="DG35" s="58"/>
      <c r="DI35" s="58"/>
      <c r="DJ35" s="58"/>
      <c r="DK35" s="58"/>
      <c r="DL35" s="92"/>
      <c r="DM35" s="203"/>
      <c r="DN35" s="94"/>
      <c r="DO35" s="58"/>
      <c r="DP35" s="58"/>
      <c r="DQ35" s="58"/>
      <c r="DS35" s="58"/>
      <c r="DT35" s="58"/>
      <c r="DU35" s="58"/>
      <c r="DV35" s="92"/>
      <c r="DW35" s="121"/>
      <c r="DX35" s="94"/>
      <c r="DY35" s="58"/>
      <c r="DZ35" s="58"/>
      <c r="EA35" s="58"/>
      <c r="EC35" s="58"/>
      <c r="ED35" s="58"/>
      <c r="EE35" s="58"/>
      <c r="EF35" s="92"/>
      <c r="EG35" s="121"/>
      <c r="EH35" s="94"/>
      <c r="EI35" s="58"/>
      <c r="EJ35" s="58"/>
      <c r="EK35" s="58"/>
      <c r="EM35" s="58"/>
      <c r="EN35" s="58"/>
      <c r="EO35" s="58"/>
      <c r="EP35" s="92"/>
      <c r="EQ35" s="121"/>
      <c r="ER35" s="94"/>
      <c r="ES35" s="58"/>
      <c r="ET35" s="58"/>
      <c r="EU35" s="58"/>
      <c r="FD35" s="58"/>
      <c r="FE35" s="58"/>
      <c r="FF35" s="58"/>
      <c r="FG35" s="92"/>
      <c r="FH35" s="124"/>
      <c r="FI35" s="94"/>
      <c r="FJ35" s="58"/>
      <c r="FK35" s="58"/>
      <c r="FL35" s="58"/>
      <c r="FN35" s="58"/>
      <c r="FO35" s="58"/>
      <c r="FP35" s="58"/>
      <c r="FQ35" s="92"/>
      <c r="FR35" s="105"/>
      <c r="FS35" s="94"/>
      <c r="FT35" s="58"/>
      <c r="FU35" s="58"/>
      <c r="FV35" s="58"/>
    </row>
    <row r="36" spans="2:178" x14ac:dyDescent="0.35">
      <c r="B36" s="58"/>
      <c r="C36" s="58"/>
      <c r="D36" s="58"/>
      <c r="E36" s="170"/>
      <c r="F36" s="80"/>
      <c r="G36" s="171"/>
      <c r="H36" s="58"/>
      <c r="I36" s="58"/>
      <c r="J36" s="58"/>
      <c r="L36">
        <f t="shared" si="21"/>
        <v>9000</v>
      </c>
      <c r="M36" s="268">
        <f t="shared" si="22"/>
        <v>4609.712149551021</v>
      </c>
      <c r="N36">
        <f t="shared" si="23"/>
        <v>3955.1330243147759</v>
      </c>
      <c r="O36" s="269">
        <f t="shared" si="24"/>
        <v>7790.4884904670043</v>
      </c>
      <c r="P36" s="269">
        <f t="shared" si="3"/>
        <v>7862.4000000000005</v>
      </c>
      <c r="Q36" s="269">
        <f t="shared" si="4"/>
        <v>-71.911509532996206</v>
      </c>
      <c r="AB36" s="58"/>
      <c r="AC36" s="58"/>
      <c r="AD36" s="58"/>
      <c r="AE36" s="26"/>
      <c r="AF36" s="124"/>
      <c r="AG36" s="25"/>
      <c r="AH36" s="58"/>
      <c r="AI36" s="58"/>
      <c r="AJ36" s="58"/>
      <c r="AL36">
        <f t="shared" si="18"/>
        <v>9500</v>
      </c>
      <c r="AM36" s="269">
        <f t="shared" si="19"/>
        <v>8299.2000000000007</v>
      </c>
      <c r="AN36" s="269">
        <v>4000</v>
      </c>
      <c r="AO36" s="269">
        <f t="shared" si="5"/>
        <v>12299.2</v>
      </c>
      <c r="AP36" s="269"/>
      <c r="AQ36" s="269">
        <f t="shared" si="25"/>
        <v>4500</v>
      </c>
      <c r="AR36" s="269">
        <f t="shared" si="26"/>
        <v>3861</v>
      </c>
      <c r="AS36" s="269">
        <f t="shared" si="27"/>
        <v>8229</v>
      </c>
      <c r="AT36" s="269">
        <f t="shared" si="8"/>
        <v>4070.2000000000007</v>
      </c>
      <c r="AU36" s="222">
        <v>5120</v>
      </c>
      <c r="AV36" s="282">
        <f t="shared" si="9"/>
        <v>1.2579234435654265</v>
      </c>
      <c r="AX36" s="58"/>
      <c r="AY36" s="58"/>
      <c r="AZ36" s="58"/>
      <c r="BA36" s="92"/>
      <c r="BB36" s="124"/>
      <c r="BC36" s="94"/>
      <c r="BD36" s="58"/>
      <c r="BE36" s="58"/>
      <c r="BF36" s="58"/>
      <c r="BH36">
        <f t="shared" si="28"/>
        <v>9500</v>
      </c>
      <c r="BI36" s="269">
        <f t="shared" si="20"/>
        <v>8299.2000000000007</v>
      </c>
      <c r="BJ36" s="269">
        <v>4000</v>
      </c>
      <c r="BK36" s="269">
        <f t="shared" si="10"/>
        <v>12299.2</v>
      </c>
      <c r="BL36" s="269"/>
      <c r="BM36">
        <f t="shared" si="29"/>
        <v>4200</v>
      </c>
      <c r="BP36" s="269"/>
      <c r="BQ36" s="269"/>
      <c r="BR36" s="222">
        <v>5120</v>
      </c>
      <c r="BS36" s="282"/>
      <c r="BT36" s="282"/>
      <c r="BU36" s="58"/>
      <c r="BV36" s="58"/>
      <c r="BW36" s="58"/>
      <c r="BX36" s="92"/>
      <c r="BY36" s="124"/>
      <c r="BZ36" s="94"/>
      <c r="CA36" s="58"/>
      <c r="CB36" s="58"/>
      <c r="CC36" s="58"/>
      <c r="CE36" s="58"/>
      <c r="CF36" s="58"/>
      <c r="CG36" s="58"/>
      <c r="CH36" s="92"/>
      <c r="CI36" s="200"/>
      <c r="CJ36" s="94"/>
      <c r="CK36" s="58"/>
      <c r="CL36" s="58"/>
      <c r="CM36" s="58"/>
      <c r="CO36" s="58"/>
      <c r="CP36" s="58"/>
      <c r="CQ36" s="58"/>
      <c r="CR36" s="92"/>
      <c r="CS36" s="114"/>
      <c r="CT36" s="94"/>
      <c r="CU36" s="58"/>
      <c r="CV36" s="58"/>
      <c r="CW36" s="58"/>
      <c r="CY36" s="58"/>
      <c r="CZ36" s="58"/>
      <c r="DA36" s="58"/>
      <c r="DB36" s="92"/>
      <c r="DC36" s="203" t="s">
        <v>32</v>
      </c>
      <c r="DD36" s="94"/>
      <c r="DE36" s="58"/>
      <c r="DF36" s="58"/>
      <c r="DG36" s="58"/>
      <c r="DI36" s="58"/>
      <c r="DJ36" s="58"/>
      <c r="DK36" s="58"/>
      <c r="DL36" s="92"/>
      <c r="DM36" s="203"/>
      <c r="DN36" s="94"/>
      <c r="DO36" s="58"/>
      <c r="DP36" s="58"/>
      <c r="DQ36" s="58"/>
      <c r="DS36" s="58"/>
      <c r="DT36" s="58"/>
      <c r="DU36" s="58"/>
      <c r="DV36" s="92"/>
      <c r="DW36" s="121"/>
      <c r="DX36" s="94"/>
      <c r="DY36" s="58"/>
      <c r="DZ36" s="58"/>
      <c r="EA36" s="58"/>
      <c r="EC36" s="58"/>
      <c r="ED36" s="58"/>
      <c r="EE36" s="58"/>
      <c r="EF36" s="92"/>
      <c r="EG36" s="121"/>
      <c r="EH36" s="94"/>
      <c r="EI36" s="58"/>
      <c r="EJ36" s="58"/>
      <c r="EK36" s="58"/>
      <c r="EM36" s="58"/>
      <c r="EN36" s="58"/>
      <c r="EO36" s="58"/>
      <c r="EP36" s="92"/>
      <c r="EQ36" s="121"/>
      <c r="ER36" s="94"/>
      <c r="ES36" s="58"/>
      <c r="ET36" s="58"/>
      <c r="EU36" s="58"/>
      <c r="FD36" s="58"/>
      <c r="FE36" s="58"/>
      <c r="FF36" s="58"/>
      <c r="FG36" s="92"/>
      <c r="FH36" s="124"/>
      <c r="FI36" s="94"/>
      <c r="FJ36" s="58"/>
      <c r="FK36" s="58"/>
      <c r="FL36" s="58"/>
      <c r="FN36" s="58"/>
      <c r="FO36" s="58"/>
      <c r="FP36" s="58"/>
      <c r="FQ36" s="92"/>
      <c r="FR36" s="105"/>
      <c r="FS36" s="94"/>
      <c r="FT36" s="58"/>
      <c r="FU36" s="58"/>
      <c r="FV36" s="58"/>
    </row>
    <row r="37" spans="2:178" x14ac:dyDescent="0.35">
      <c r="E37" s="170"/>
      <c r="F37" s="80"/>
      <c r="G37" s="171"/>
      <c r="H37" s="85"/>
      <c r="I37" s="85"/>
      <c r="J37" s="85"/>
      <c r="L37">
        <f t="shared" si="21"/>
        <v>9500</v>
      </c>
      <c r="M37" s="268">
        <f t="shared" si="22"/>
        <v>5109.712149551021</v>
      </c>
      <c r="N37">
        <f t="shared" si="23"/>
        <v>4384.1330243147759</v>
      </c>
      <c r="O37" s="269">
        <f t="shared" si="24"/>
        <v>8219.4884904670034</v>
      </c>
      <c r="P37" s="269">
        <f t="shared" si="3"/>
        <v>8299.2000000000007</v>
      </c>
      <c r="Q37" s="269">
        <f t="shared" si="4"/>
        <v>-79.711509532997297</v>
      </c>
      <c r="AE37" s="26"/>
      <c r="AF37" s="124"/>
      <c r="AG37" s="25"/>
      <c r="AH37" s="85"/>
      <c r="AI37" s="85"/>
      <c r="AJ37" s="85"/>
      <c r="AL37">
        <f t="shared" si="18"/>
        <v>10000</v>
      </c>
      <c r="AM37" s="269">
        <f t="shared" si="19"/>
        <v>8736</v>
      </c>
      <c r="AN37" s="269">
        <v>4000</v>
      </c>
      <c r="AO37" s="269">
        <f t="shared" si="5"/>
        <v>12736</v>
      </c>
      <c r="AP37" s="269"/>
      <c r="AQ37" s="269">
        <f t="shared" si="25"/>
        <v>5000</v>
      </c>
      <c r="AR37" s="269">
        <f t="shared" si="26"/>
        <v>4290</v>
      </c>
      <c r="AS37" s="269">
        <f t="shared" si="27"/>
        <v>8658</v>
      </c>
      <c r="AT37" s="272">
        <f t="shared" si="8"/>
        <v>4078</v>
      </c>
      <c r="AU37" s="222">
        <v>5120</v>
      </c>
      <c r="AV37" s="282">
        <f t="shared" si="9"/>
        <v>1.2555174104953408</v>
      </c>
      <c r="BA37" s="26"/>
      <c r="BB37" s="124"/>
      <c r="BC37" s="25"/>
      <c r="BF37" s="85"/>
      <c r="BH37">
        <f t="shared" si="28"/>
        <v>10000</v>
      </c>
      <c r="BI37" s="269">
        <f t="shared" si="20"/>
        <v>8736</v>
      </c>
      <c r="BJ37" s="269">
        <v>4000</v>
      </c>
      <c r="BK37" s="269">
        <f t="shared" si="10"/>
        <v>12736</v>
      </c>
      <c r="BL37" s="269"/>
      <c r="BM37">
        <f t="shared" si="29"/>
        <v>4700</v>
      </c>
      <c r="BN37" s="268">
        <f>0.052*16.2*BM37</f>
        <v>3959.2799999999997</v>
      </c>
      <c r="BO37" s="269">
        <f>0.052*16.2*10000</f>
        <v>8424</v>
      </c>
      <c r="BP37" s="269">
        <f>BP28+BN37</f>
        <v>8457.2279999999992</v>
      </c>
      <c r="BQ37" s="269">
        <f t="shared" ref="BQ37" si="30">BK37-BP37</f>
        <v>4278.7720000000008</v>
      </c>
      <c r="BR37" s="222">
        <v>5120</v>
      </c>
      <c r="BS37" s="282">
        <f t="shared" ref="BS37" si="31">BR37/BQ37</f>
        <v>1.1966050072310463</v>
      </c>
      <c r="BT37" s="282"/>
      <c r="BX37" s="26"/>
      <c r="BY37" s="124"/>
      <c r="BZ37" s="25"/>
      <c r="CA37" s="292"/>
      <c r="CB37" s="292"/>
      <c r="CC37" s="292"/>
      <c r="CH37" s="26"/>
      <c r="CI37" s="200"/>
      <c r="CJ37" s="25"/>
      <c r="CK37" s="292"/>
      <c r="CL37" s="292"/>
      <c r="CM37" s="292"/>
      <c r="CR37" s="26"/>
      <c r="CS37" s="114"/>
      <c r="CT37" s="25"/>
      <c r="CU37" s="292"/>
      <c r="CV37" s="292"/>
      <c r="CW37" s="292"/>
      <c r="DB37" s="26"/>
      <c r="DC37" s="200"/>
      <c r="DD37" s="25"/>
      <c r="DE37" s="292"/>
      <c r="DF37" s="292"/>
      <c r="DG37" s="292"/>
      <c r="DL37" s="26"/>
      <c r="DM37" s="200"/>
      <c r="DN37" s="25"/>
      <c r="DO37" s="292"/>
      <c r="DP37" s="292"/>
      <c r="DQ37" s="292"/>
      <c r="DV37" s="26"/>
      <c r="DW37" s="105"/>
      <c r="DX37" s="25"/>
      <c r="DY37" s="292"/>
      <c r="DZ37" s="292"/>
      <c r="EA37" s="292"/>
      <c r="EF37" s="26"/>
      <c r="EG37" s="105"/>
      <c r="EH37" s="25"/>
      <c r="EI37" s="292"/>
      <c r="EJ37" s="292"/>
      <c r="EK37" s="292"/>
      <c r="EP37" s="26"/>
      <c r="EQ37" s="105"/>
      <c r="ER37" s="25"/>
      <c r="ES37" s="292"/>
      <c r="ET37" s="292"/>
      <c r="EU37" s="292"/>
      <c r="FG37" s="26"/>
      <c r="FH37" s="124"/>
      <c r="FI37" s="25"/>
      <c r="FJ37" s="292"/>
      <c r="FK37" s="292"/>
      <c r="FL37" s="292"/>
      <c r="FQ37" s="26"/>
      <c r="FR37" s="105"/>
      <c r="FS37" s="25"/>
      <c r="FT37" s="292"/>
      <c r="FU37" s="292"/>
      <c r="FV37" s="292"/>
    </row>
    <row r="38" spans="2:178" x14ac:dyDescent="0.35">
      <c r="D38" s="74" t="s">
        <v>136</v>
      </c>
      <c r="E38" s="170"/>
      <c r="F38" s="221"/>
      <c r="G38" s="171"/>
      <c r="H38" s="85" t="s">
        <v>100</v>
      </c>
      <c r="I38" s="85"/>
      <c r="J38" s="85"/>
      <c r="L38">
        <f t="shared" si="21"/>
        <v>10000</v>
      </c>
      <c r="M38" s="268">
        <f t="shared" si="22"/>
        <v>5609.712149551021</v>
      </c>
      <c r="N38">
        <f t="shared" si="23"/>
        <v>4813.1330243147759</v>
      </c>
      <c r="O38" s="269">
        <f t="shared" si="24"/>
        <v>8648.4884904670034</v>
      </c>
      <c r="P38" s="269">
        <f t="shared" si="3"/>
        <v>8736</v>
      </c>
      <c r="Q38" s="269">
        <f t="shared" si="4"/>
        <v>-87.51150953299657</v>
      </c>
      <c r="AD38" s="74"/>
      <c r="AE38" s="261"/>
      <c r="AF38" s="124"/>
      <c r="AG38" s="262"/>
      <c r="AH38" s="85" t="s">
        <v>100</v>
      </c>
      <c r="AI38" s="85"/>
      <c r="AJ38" s="85"/>
      <c r="BA38" s="261"/>
      <c r="BB38" s="124"/>
      <c r="BC38" s="262"/>
      <c r="BD38" s="85"/>
      <c r="BE38" s="85"/>
      <c r="BF38" s="85"/>
      <c r="BX38" s="26"/>
      <c r="BY38" s="124"/>
      <c r="BZ38" s="25"/>
      <c r="CA38" s="292"/>
      <c r="CB38" s="292"/>
      <c r="CC38" s="292"/>
      <c r="CH38" s="26"/>
      <c r="CI38" s="200"/>
      <c r="CJ38" s="25"/>
      <c r="CK38" s="292"/>
      <c r="CL38" s="292"/>
      <c r="CM38" s="292"/>
      <c r="CR38" s="26"/>
      <c r="CS38" s="114"/>
      <c r="CT38" s="25"/>
      <c r="CU38" s="292"/>
      <c r="CV38" s="292"/>
      <c r="CW38" s="292"/>
      <c r="DB38" s="26"/>
      <c r="DC38" s="200"/>
      <c r="DD38" s="25"/>
      <c r="DE38" s="292"/>
      <c r="DF38" s="292"/>
      <c r="DG38" s="292"/>
      <c r="DL38" s="26"/>
      <c r="DM38" s="200"/>
      <c r="DN38" s="25"/>
      <c r="DO38" s="292"/>
      <c r="DP38" s="292"/>
      <c r="DQ38" s="292"/>
      <c r="DV38" s="26"/>
      <c r="DW38" s="105"/>
      <c r="DX38" s="25"/>
      <c r="DY38" s="292"/>
      <c r="DZ38" s="292"/>
      <c r="EA38" s="292"/>
      <c r="EF38" s="26"/>
      <c r="EG38" s="105"/>
      <c r="EH38" s="25"/>
      <c r="EI38" s="292"/>
      <c r="EJ38" s="292"/>
      <c r="EK38" s="292"/>
      <c r="EP38" s="26"/>
      <c r="EQ38" s="105"/>
      <c r="ER38" s="25"/>
      <c r="ES38" s="292"/>
      <c r="ET38" s="292"/>
      <c r="EU38" s="292"/>
      <c r="FG38" s="26"/>
      <c r="FH38" s="124"/>
      <c r="FI38" s="25"/>
      <c r="FJ38" s="292"/>
      <c r="FK38" s="292"/>
      <c r="FL38" s="292"/>
      <c r="FQ38" s="26"/>
      <c r="FR38" s="105"/>
      <c r="FS38" s="25"/>
      <c r="FT38" s="292"/>
      <c r="FU38" s="292"/>
      <c r="FV38" s="292"/>
    </row>
    <row r="39" spans="2:178" x14ac:dyDescent="0.35">
      <c r="E39" s="170"/>
      <c r="F39" s="221"/>
      <c r="G39" s="171"/>
      <c r="AE39" s="261"/>
      <c r="AF39" s="124"/>
      <c r="AG39" s="262"/>
      <c r="BA39" s="261"/>
      <c r="BB39" s="124"/>
      <c r="BC39" s="262"/>
      <c r="BX39" s="26"/>
      <c r="BY39" s="124"/>
      <c r="BZ39" s="25"/>
      <c r="CH39" s="26"/>
      <c r="CI39" s="200"/>
      <c r="CJ39" s="25"/>
      <c r="CR39" s="26"/>
      <c r="CS39" s="114"/>
      <c r="CT39" s="25"/>
      <c r="DB39" s="26"/>
      <c r="DC39" s="105"/>
      <c r="DD39" s="25"/>
      <c r="DL39" s="26"/>
      <c r="DM39" s="105"/>
      <c r="DN39" s="25"/>
      <c r="DV39" s="26"/>
      <c r="DW39" s="105"/>
      <c r="DX39" s="25"/>
      <c r="EF39" s="26"/>
      <c r="EG39" s="105"/>
      <c r="EH39" s="25"/>
      <c r="EP39" s="26"/>
      <c r="EQ39" s="105"/>
      <c r="ER39" s="25"/>
      <c r="FG39" s="26"/>
      <c r="FH39" s="124"/>
      <c r="FI39" s="25"/>
      <c r="FQ39" s="26"/>
      <c r="FR39" s="105"/>
      <c r="FS39" s="25"/>
    </row>
    <row r="40" spans="2:178" x14ac:dyDescent="0.35">
      <c r="E40" s="171"/>
      <c r="F40" s="219" t="s">
        <v>1</v>
      </c>
      <c r="G40" s="171"/>
      <c r="AE40" s="262"/>
      <c r="AF40" s="263" t="s">
        <v>1</v>
      </c>
      <c r="AG40" s="262"/>
      <c r="BA40" s="262"/>
      <c r="BB40" s="263" t="s">
        <v>1</v>
      </c>
      <c r="BC40" s="262"/>
      <c r="BX40" s="25"/>
      <c r="BY40" s="126"/>
      <c r="BZ40" s="25"/>
      <c r="CH40" s="25"/>
      <c r="CI40" s="202"/>
      <c r="CJ40" s="25"/>
      <c r="CR40" s="25"/>
      <c r="CS40" s="116"/>
      <c r="CT40" s="25"/>
      <c r="DB40" s="25"/>
      <c r="DC40" s="105"/>
      <c r="DD40" s="25"/>
      <c r="DL40" s="25"/>
      <c r="DM40" s="105"/>
      <c r="DN40" s="25"/>
      <c r="DV40" s="25"/>
      <c r="DW40" s="105"/>
      <c r="DX40" s="25"/>
      <c r="EF40" s="25"/>
      <c r="EG40" s="105"/>
      <c r="EH40" s="25"/>
      <c r="EP40" s="25"/>
      <c r="EQ40" s="105"/>
      <c r="ER40" s="25"/>
      <c r="FG40" s="25"/>
      <c r="FH40" s="111" t="s">
        <v>1</v>
      </c>
      <c r="FI40" s="25"/>
      <c r="FQ40" s="25"/>
      <c r="FR40" s="111" t="s">
        <v>1</v>
      </c>
      <c r="FS40" s="25"/>
    </row>
    <row r="41" spans="2:178" ht="15" thickBot="1" x14ac:dyDescent="0.4">
      <c r="D41" s="74" t="s">
        <v>44</v>
      </c>
      <c r="E41" s="171"/>
      <c r="F41" s="220" t="s">
        <v>1</v>
      </c>
      <c r="G41" s="171"/>
      <c r="AD41" s="74" t="s">
        <v>44</v>
      </c>
      <c r="AE41" s="262"/>
      <c r="AF41" s="264" t="s">
        <v>1</v>
      </c>
      <c r="AG41" s="262"/>
      <c r="AH41" t="s">
        <v>59</v>
      </c>
      <c r="BA41" s="262"/>
      <c r="BB41" s="264" t="s">
        <v>1</v>
      </c>
      <c r="BC41" s="262"/>
      <c r="BX41" s="25"/>
      <c r="BY41" s="126"/>
      <c r="BZ41" s="25"/>
      <c r="CH41" s="25"/>
      <c r="CI41" s="202"/>
      <c r="CJ41" s="25"/>
      <c r="CR41" s="25"/>
      <c r="CS41" s="116"/>
      <c r="CT41" s="25"/>
      <c r="DB41" s="25"/>
      <c r="DC41" s="105"/>
      <c r="DD41" s="25"/>
      <c r="DL41" s="25"/>
      <c r="DM41" s="105"/>
      <c r="DN41" s="25"/>
      <c r="DV41" s="25"/>
      <c r="DW41" s="105"/>
      <c r="DX41" s="25"/>
      <c r="EF41" s="25"/>
      <c r="EG41" s="265"/>
      <c r="EH41" s="25"/>
      <c r="EP41" s="25"/>
      <c r="EQ41" s="105"/>
      <c r="ER41" s="25"/>
      <c r="FG41" s="25"/>
      <c r="FH41" s="112" t="s">
        <v>1</v>
      </c>
      <c r="FI41" s="25"/>
      <c r="FQ41" s="25"/>
      <c r="FR41" s="112" t="s">
        <v>1</v>
      </c>
      <c r="FS41" s="25"/>
    </row>
    <row r="42" spans="2:178" ht="16" thickTop="1" x14ac:dyDescent="0.35">
      <c r="E42" s="171"/>
      <c r="F42" s="171"/>
      <c r="G42" s="171"/>
      <c r="H42" s="136"/>
      <c r="AE42" s="262"/>
      <c r="AF42" s="262"/>
      <c r="AG42" s="262"/>
      <c r="AH42" s="136" t="s">
        <v>60</v>
      </c>
      <c r="BA42" s="262"/>
      <c r="BB42" s="262"/>
      <c r="BC42" s="262"/>
      <c r="BX42" s="25"/>
      <c r="BY42" s="129" t="s">
        <v>27</v>
      </c>
      <c r="BZ42" s="25"/>
      <c r="CH42" s="25"/>
      <c r="CI42" s="117"/>
      <c r="CJ42" s="25"/>
      <c r="CR42" s="25"/>
      <c r="CS42" s="117"/>
      <c r="CT42" s="25"/>
      <c r="DB42" s="25"/>
      <c r="DC42" s="265"/>
      <c r="DD42" s="25"/>
      <c r="DL42" s="25"/>
      <c r="DM42" s="265"/>
      <c r="DN42" s="25"/>
      <c r="DV42" s="25"/>
      <c r="DW42" s="265"/>
      <c r="DX42" s="25"/>
      <c r="EF42" s="25"/>
      <c r="EG42" s="265"/>
      <c r="EH42" s="25"/>
      <c r="EP42" s="25"/>
      <c r="EQ42" s="265"/>
      <c r="ER42" s="25"/>
      <c r="FG42" s="25"/>
      <c r="FH42" s="25"/>
      <c r="FI42" s="25"/>
      <c r="FQ42" s="25"/>
      <c r="FR42" s="25"/>
      <c r="FS42" s="25"/>
    </row>
    <row r="43" spans="2:178" ht="15.5" x14ac:dyDescent="0.35">
      <c r="BY43" s="129" t="s">
        <v>25</v>
      </c>
      <c r="CI43" s="117"/>
      <c r="CS43" s="117"/>
      <c r="DC43" s="265"/>
      <c r="DM43" s="265"/>
      <c r="DW43" s="265"/>
      <c r="EG43" s="265"/>
      <c r="EQ43" s="265"/>
    </row>
    <row r="44" spans="2:178" ht="15.5" x14ac:dyDescent="0.35">
      <c r="BY44" s="130" t="s">
        <v>26</v>
      </c>
      <c r="CI44" s="117"/>
      <c r="CS44" s="117"/>
      <c r="DC44" s="265"/>
      <c r="DM44" s="265"/>
      <c r="DW44" s="265"/>
      <c r="EG44" s="265"/>
      <c r="EQ44" s="265"/>
    </row>
    <row r="45" spans="2:178" x14ac:dyDescent="0.35">
      <c r="CI45" s="117"/>
      <c r="CS45" s="117"/>
      <c r="DC45" s="265"/>
      <c r="DM45" s="265"/>
      <c r="DW45" s="265"/>
      <c r="EG45" s="266"/>
      <c r="EQ45" s="265"/>
    </row>
    <row r="46" spans="2:178" x14ac:dyDescent="0.35">
      <c r="CI46" s="117"/>
      <c r="CS46" s="117"/>
      <c r="DC46" s="266"/>
      <c r="DM46" s="266"/>
      <c r="DW46" s="266"/>
      <c r="EQ46" s="266"/>
    </row>
    <row r="47" spans="2:178" x14ac:dyDescent="0.35">
      <c r="CI47" s="117"/>
      <c r="CS47" s="117"/>
    </row>
    <row r="48" spans="2:178" x14ac:dyDescent="0.35">
      <c r="CI48" s="117"/>
      <c r="CS48" s="117"/>
    </row>
    <row r="49" spans="83:101" x14ac:dyDescent="0.35">
      <c r="CE49" s="58"/>
      <c r="CF49" s="58"/>
      <c r="CG49" s="58"/>
      <c r="CH49" s="58"/>
      <c r="CI49" s="118"/>
      <c r="CJ49" s="58"/>
      <c r="CK49" s="58"/>
      <c r="CL49" s="58"/>
      <c r="CM49" s="58"/>
      <c r="CO49" s="58"/>
      <c r="CP49" s="58"/>
      <c r="CQ49" s="58"/>
      <c r="CR49" s="58"/>
      <c r="CS49" s="118"/>
      <c r="CT49" s="58"/>
      <c r="CU49" s="58"/>
      <c r="CV49" s="58"/>
      <c r="CW49" s="58"/>
    </row>
  </sheetData>
  <mergeCells count="39">
    <mergeCell ref="AM15:AO15"/>
    <mergeCell ref="BI15:BK15"/>
    <mergeCell ref="F16:F17"/>
    <mergeCell ref="H33:J34"/>
    <mergeCell ref="AF16:AF17"/>
    <mergeCell ref="BB16:BB17"/>
    <mergeCell ref="FJ33:FL34"/>
    <mergeCell ref="BY16:BY17"/>
    <mergeCell ref="AH33:AJ34"/>
    <mergeCell ref="BD33:BF34"/>
    <mergeCell ref="S20:T20"/>
    <mergeCell ref="S21:T21"/>
    <mergeCell ref="S22:T22"/>
    <mergeCell ref="S23:T23"/>
    <mergeCell ref="CI16:CI17"/>
    <mergeCell ref="EQ16:EQ17"/>
    <mergeCell ref="FH16:FH17"/>
    <mergeCell ref="FR16:FR17"/>
    <mergeCell ref="DC16:DC17"/>
    <mergeCell ref="DW16:DW17"/>
    <mergeCell ref="EG16:EG17"/>
    <mergeCell ref="DM16:DM17"/>
    <mergeCell ref="CS16:CS17"/>
    <mergeCell ref="FT33:FV34"/>
    <mergeCell ref="CA37:CC38"/>
    <mergeCell ref="CU37:CW38"/>
    <mergeCell ref="DE37:DG38"/>
    <mergeCell ref="DO37:DQ38"/>
    <mergeCell ref="ES37:EU38"/>
    <mergeCell ref="FJ37:FL38"/>
    <mergeCell ref="FT37:FV38"/>
    <mergeCell ref="CK33:CM34"/>
    <mergeCell ref="CK37:CM38"/>
    <mergeCell ref="DY37:EA38"/>
    <mergeCell ref="CA33:CC34"/>
    <mergeCell ref="CU33:CW34"/>
    <mergeCell ref="DE33:DG34"/>
    <mergeCell ref="EI37:EK38"/>
    <mergeCell ref="ES33:EU34"/>
  </mergeCells>
  <pageMargins left="0.7" right="0.7" top="0.75" bottom="0.75" header="0.3" footer="0.3"/>
  <pageSetup paperSize="9" orientation="portrait" verticalDpi="72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O49"/>
  <sheetViews>
    <sheetView showGridLines="0" tabSelected="1" zoomScale="51" zoomScaleNormal="51" workbookViewId="0">
      <selection activeCell="T32" sqref="T32"/>
    </sheetView>
  </sheetViews>
  <sheetFormatPr defaultRowHeight="14.5" x14ac:dyDescent="0.35"/>
  <cols>
    <col min="2" max="2" width="3.81640625" customWidth="1"/>
    <col min="3" max="3" width="1.1796875" customWidth="1"/>
    <col min="4" max="4" width="1.81640625" customWidth="1"/>
    <col min="5" max="5" width="2" customWidth="1"/>
    <col min="6" max="6" width="9.453125" customWidth="1"/>
    <col min="7" max="8" width="2" customWidth="1"/>
    <col min="9" max="9" width="1.1796875" customWidth="1"/>
    <col min="10" max="10" width="3.81640625" customWidth="1"/>
    <col min="28" max="28" width="3.81640625" customWidth="1"/>
    <col min="29" max="29" width="1.1796875" customWidth="1"/>
    <col min="30" max="30" width="1.81640625" customWidth="1"/>
    <col min="31" max="31" width="2" customWidth="1"/>
    <col min="32" max="32" width="9.453125" customWidth="1"/>
    <col min="33" max="34" width="2" customWidth="1"/>
    <col min="35" max="35" width="1.1796875" customWidth="1"/>
    <col min="36" max="36" width="3.81640625" customWidth="1"/>
    <col min="38" max="38" width="3.81640625" customWidth="1"/>
    <col min="39" max="39" width="1.1796875" customWidth="1"/>
    <col min="40" max="40" width="1.81640625" customWidth="1"/>
    <col min="41" max="41" width="2" customWidth="1"/>
    <col min="42" max="42" width="9.453125" customWidth="1"/>
    <col min="43" max="44" width="2" customWidth="1"/>
    <col min="45" max="45" width="1.1796875" customWidth="1"/>
    <col min="46" max="46" width="3.81640625" customWidth="1"/>
    <col min="48" max="48" width="3.81640625" customWidth="1"/>
    <col min="49" max="49" width="1.1796875" customWidth="1"/>
    <col min="50" max="50" width="1.81640625" customWidth="1"/>
    <col min="51" max="51" width="2" customWidth="1"/>
    <col min="52" max="52" width="9.453125" customWidth="1"/>
    <col min="53" max="54" width="2" customWidth="1"/>
    <col min="55" max="55" width="1.1796875" customWidth="1"/>
    <col min="56" max="56" width="3.81640625" customWidth="1"/>
    <col min="58" max="58" width="3.81640625" customWidth="1"/>
    <col min="59" max="59" width="1.1796875" customWidth="1"/>
    <col min="60" max="60" width="1.81640625" customWidth="1"/>
    <col min="61" max="61" width="2" customWidth="1"/>
    <col min="62" max="62" width="9.453125" customWidth="1"/>
    <col min="63" max="64" width="2" customWidth="1"/>
    <col min="65" max="65" width="1.1796875" customWidth="1"/>
    <col min="66" max="66" width="3.81640625" customWidth="1"/>
  </cols>
  <sheetData>
    <row r="1" spans="1:67" ht="18.5" x14ac:dyDescent="0.45">
      <c r="F1" s="128"/>
      <c r="AZ1" s="128" t="s">
        <v>103</v>
      </c>
      <c r="BJ1" s="128" t="s">
        <v>97</v>
      </c>
    </row>
    <row r="2" spans="1:67" ht="18.5" x14ac:dyDescent="0.45">
      <c r="A2" s="127"/>
      <c r="B2" s="127"/>
      <c r="C2" s="127"/>
      <c r="D2" s="127"/>
      <c r="E2" s="127"/>
      <c r="F2" s="128" t="s">
        <v>36</v>
      </c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B2" s="127"/>
      <c r="AC2" s="127"/>
      <c r="AD2" s="127"/>
      <c r="AE2" s="127"/>
      <c r="AF2" s="128" t="s">
        <v>30</v>
      </c>
      <c r="AG2" s="127"/>
      <c r="AH2" s="127"/>
      <c r="AI2" s="127"/>
      <c r="AJ2" s="127"/>
      <c r="AK2" s="127"/>
      <c r="AL2" s="127"/>
      <c r="AM2" s="127"/>
      <c r="AN2" s="127"/>
      <c r="AO2" s="127"/>
      <c r="AP2" s="128" t="s">
        <v>88</v>
      </c>
      <c r="AQ2" s="127"/>
      <c r="AR2" s="127"/>
      <c r="AS2" s="127"/>
      <c r="AT2" s="127"/>
      <c r="AU2" s="127"/>
      <c r="AV2" s="127"/>
      <c r="AW2" s="127"/>
      <c r="AX2" s="127"/>
      <c r="AY2" s="127"/>
      <c r="AZ2" s="128" t="s">
        <v>104</v>
      </c>
      <c r="BA2" s="127"/>
      <c r="BB2" s="127"/>
      <c r="BC2" s="127"/>
      <c r="BD2" s="127"/>
      <c r="BE2" s="127"/>
      <c r="BF2" s="127"/>
      <c r="BG2" s="127"/>
      <c r="BH2" s="127"/>
      <c r="BI2" s="127"/>
      <c r="BJ2" s="128" t="s">
        <v>98</v>
      </c>
      <c r="BK2" s="127"/>
      <c r="BL2" s="127"/>
      <c r="BM2" s="127"/>
      <c r="BN2" s="127"/>
      <c r="BO2" s="127"/>
    </row>
    <row r="3" spans="1:67" ht="18.5" x14ac:dyDescent="0.45">
      <c r="F3" s="128"/>
      <c r="AF3" s="128" t="s">
        <v>91</v>
      </c>
    </row>
    <row r="5" spans="1:67" x14ac:dyDescent="0.35">
      <c r="E5" s="15"/>
      <c r="F5" s="15"/>
      <c r="G5" s="15"/>
      <c r="AE5" s="15"/>
      <c r="AF5" s="15"/>
      <c r="AG5" s="15"/>
      <c r="AO5" s="15"/>
      <c r="AP5" s="15"/>
      <c r="AQ5" s="15"/>
      <c r="AY5" s="15"/>
      <c r="AZ5" s="15"/>
      <c r="BA5" s="15"/>
      <c r="BI5" s="15"/>
      <c r="BJ5" s="15"/>
      <c r="BK5" s="15"/>
    </row>
    <row r="6" spans="1:67" x14ac:dyDescent="0.35">
      <c r="E6" s="15"/>
      <c r="F6" s="15"/>
      <c r="G6" s="15"/>
      <c r="AE6" s="15"/>
      <c r="AF6" s="15"/>
      <c r="AG6" s="15"/>
      <c r="AO6" s="15"/>
      <c r="AP6" s="15"/>
      <c r="AQ6" s="15"/>
      <c r="AY6" s="15"/>
      <c r="AZ6" s="15"/>
      <c r="BA6" s="15"/>
      <c r="BI6" s="15"/>
      <c r="BJ6" s="15"/>
      <c r="BK6" s="15"/>
    </row>
    <row r="7" spans="1:67" x14ac:dyDescent="0.35">
      <c r="E7" s="15"/>
      <c r="F7" s="15"/>
      <c r="G7" s="15"/>
      <c r="AE7" s="15"/>
      <c r="AF7" s="15"/>
      <c r="AG7" s="15"/>
      <c r="AO7" s="15"/>
      <c r="AP7" s="15"/>
      <c r="AQ7" s="15"/>
      <c r="AY7" s="15"/>
      <c r="AZ7" s="15"/>
      <c r="BA7" s="15"/>
      <c r="BI7" s="15"/>
      <c r="BJ7" s="15"/>
      <c r="BK7" s="15"/>
    </row>
    <row r="8" spans="1:67" x14ac:dyDescent="0.35">
      <c r="E8" s="15"/>
      <c r="F8" s="15"/>
      <c r="G8" s="15"/>
      <c r="AE8" s="15"/>
      <c r="AF8" s="15"/>
      <c r="AG8" s="15"/>
      <c r="AO8" s="15"/>
      <c r="AP8" s="15"/>
      <c r="AQ8" s="15"/>
      <c r="AY8" s="15"/>
      <c r="AZ8" s="15"/>
      <c r="BA8" s="15"/>
      <c r="BI8" s="15"/>
      <c r="BJ8" s="15"/>
      <c r="BK8" s="15"/>
    </row>
    <row r="9" spans="1:67" x14ac:dyDescent="0.35">
      <c r="E9" s="15"/>
      <c r="F9" s="15"/>
      <c r="G9" s="15"/>
      <c r="AE9" s="15"/>
      <c r="AF9" s="15"/>
      <c r="AG9" s="15"/>
      <c r="AO9" s="15"/>
      <c r="AP9" s="15"/>
      <c r="AQ9" s="15"/>
      <c r="AY9" s="15"/>
      <c r="AZ9" s="15"/>
      <c r="BA9" s="15"/>
      <c r="BI9" s="15"/>
      <c r="BJ9" s="15"/>
      <c r="BK9" s="15"/>
    </row>
    <row r="10" spans="1:67" x14ac:dyDescent="0.35">
      <c r="E10" s="15"/>
      <c r="F10" s="15"/>
      <c r="G10" s="15"/>
      <c r="AE10" s="15"/>
      <c r="AF10" s="15"/>
      <c r="AG10" s="15"/>
      <c r="AO10" s="15"/>
      <c r="AP10" s="15"/>
      <c r="AQ10" s="15"/>
      <c r="AY10" s="15"/>
      <c r="AZ10" s="15"/>
      <c r="BA10" s="15"/>
      <c r="BI10" s="15"/>
      <c r="BJ10" s="15"/>
      <c r="BK10" s="15"/>
    </row>
    <row r="11" spans="1:67" x14ac:dyDescent="0.35">
      <c r="E11" s="15"/>
      <c r="F11" s="15"/>
      <c r="G11" s="15"/>
      <c r="AE11" s="15"/>
      <c r="AF11" s="15"/>
      <c r="AG11" s="15"/>
      <c r="AO11" s="15"/>
      <c r="AP11" s="15"/>
      <c r="AQ11" s="15"/>
      <c r="AY11" s="15"/>
      <c r="AZ11" s="15"/>
      <c r="BA11" s="15"/>
      <c r="BI11" s="15"/>
      <c r="BJ11" s="15"/>
      <c r="BK11" s="15"/>
    </row>
    <row r="12" spans="1:67" x14ac:dyDescent="0.35">
      <c r="E12" s="15"/>
      <c r="F12" s="15"/>
      <c r="G12" s="15"/>
      <c r="AE12" s="15"/>
      <c r="AF12" s="15"/>
      <c r="AG12" s="15"/>
      <c r="AO12" s="15"/>
      <c r="AP12" s="15"/>
      <c r="AQ12" s="15"/>
      <c r="AY12" s="15"/>
      <c r="AZ12" s="15"/>
      <c r="BA12" s="15"/>
      <c r="BI12" s="15"/>
      <c r="BJ12" s="15"/>
      <c r="BK12" s="15"/>
    </row>
    <row r="13" spans="1:67" x14ac:dyDescent="0.35">
      <c r="E13" s="15"/>
      <c r="F13" s="15"/>
      <c r="G13" s="15"/>
      <c r="AE13" s="15"/>
      <c r="AF13" s="15"/>
      <c r="AG13" s="15"/>
      <c r="AO13" s="15"/>
      <c r="AP13" s="15"/>
      <c r="AQ13" s="15"/>
      <c r="AY13" s="15"/>
      <c r="AZ13" s="15"/>
      <c r="BA13" s="15"/>
      <c r="BI13" s="15"/>
      <c r="BJ13" s="15"/>
      <c r="BK13" s="15"/>
    </row>
    <row r="14" spans="1:67" x14ac:dyDescent="0.35">
      <c r="E14" s="15"/>
      <c r="F14" s="110"/>
      <c r="G14" s="15"/>
      <c r="AE14" s="15"/>
      <c r="AF14" s="110"/>
      <c r="AG14" s="15"/>
      <c r="AO14" s="15"/>
      <c r="AP14" s="110"/>
      <c r="AQ14" s="15"/>
      <c r="AY14" s="15"/>
      <c r="AZ14" s="110"/>
      <c r="BA14" s="15"/>
      <c r="BI14" s="15"/>
      <c r="BJ14" s="110"/>
      <c r="BK14" s="15"/>
    </row>
    <row r="15" spans="1:67" x14ac:dyDescent="0.35">
      <c r="E15" s="107"/>
      <c r="F15" s="108"/>
      <c r="G15" s="109"/>
      <c r="AE15" s="107"/>
      <c r="AF15" s="108"/>
      <c r="AG15" s="109"/>
      <c r="AO15" s="107"/>
      <c r="AP15" s="108"/>
      <c r="AQ15" s="109"/>
      <c r="AY15" s="107"/>
      <c r="AZ15" s="108"/>
      <c r="BA15" s="109"/>
      <c r="BI15" s="107"/>
      <c r="BJ15" s="108"/>
      <c r="BK15" s="109"/>
    </row>
    <row r="16" spans="1:67" x14ac:dyDescent="0.35">
      <c r="D16" s="28"/>
      <c r="E16" s="29"/>
      <c r="F16" s="293"/>
      <c r="G16" s="29"/>
      <c r="H16" s="30"/>
      <c r="AD16" s="28"/>
      <c r="AE16" s="29"/>
      <c r="AF16" s="293"/>
      <c r="AG16" s="29"/>
      <c r="AH16" s="30"/>
      <c r="AN16" s="28"/>
      <c r="AO16" s="29"/>
      <c r="AP16" s="293"/>
      <c r="AQ16" s="29"/>
      <c r="AR16" s="30"/>
      <c r="AX16" s="28"/>
      <c r="AY16" s="29"/>
      <c r="AZ16" s="293"/>
      <c r="BA16" s="29"/>
      <c r="BB16" s="30"/>
      <c r="BH16" s="28"/>
      <c r="BI16" s="29"/>
      <c r="BJ16" s="293"/>
      <c r="BK16" s="29"/>
      <c r="BL16" s="30"/>
    </row>
    <row r="17" spans="2:66" x14ac:dyDescent="0.35">
      <c r="D17" s="31"/>
      <c r="E17" s="32"/>
      <c r="F17" s="294"/>
      <c r="G17" s="32"/>
      <c r="H17" s="33"/>
      <c r="AD17" s="31"/>
      <c r="AE17" s="32"/>
      <c r="AF17" s="294"/>
      <c r="AG17" s="32"/>
      <c r="AH17" s="33"/>
      <c r="AN17" s="31"/>
      <c r="AO17" s="32"/>
      <c r="AP17" s="294"/>
      <c r="AQ17" s="32"/>
      <c r="AR17" s="33"/>
      <c r="AX17" s="31"/>
      <c r="AY17" s="32"/>
      <c r="AZ17" s="294"/>
      <c r="BA17" s="32"/>
      <c r="BB17" s="33"/>
      <c r="BH17" s="31"/>
      <c r="BI17" s="32"/>
      <c r="BJ17" s="294"/>
      <c r="BK17" s="32"/>
      <c r="BL17" s="33"/>
    </row>
    <row r="18" spans="2:66" x14ac:dyDescent="0.35">
      <c r="E18" s="207"/>
      <c r="F18" s="123"/>
      <c r="G18" s="206"/>
      <c r="AE18" s="205"/>
      <c r="AF18" s="119"/>
      <c r="AG18" s="211"/>
      <c r="AO18" s="205"/>
      <c r="AP18" s="199"/>
      <c r="AQ18" s="211"/>
      <c r="AY18" s="205"/>
      <c r="AZ18" s="214"/>
      <c r="BA18" s="211"/>
      <c r="BI18" s="205"/>
      <c r="BJ18" s="194"/>
      <c r="BK18" s="211"/>
    </row>
    <row r="19" spans="2:66" x14ac:dyDescent="0.35">
      <c r="B19" s="1"/>
      <c r="C19" s="7"/>
      <c r="D19" s="7"/>
      <c r="E19" s="207"/>
      <c r="F19" s="124"/>
      <c r="G19" s="206"/>
      <c r="H19" s="7"/>
      <c r="I19" s="7"/>
      <c r="J19" s="2"/>
      <c r="AB19" s="1"/>
      <c r="AC19" s="7"/>
      <c r="AD19" s="7"/>
      <c r="AE19" s="205"/>
      <c r="AF19" s="105"/>
      <c r="AG19" s="211"/>
      <c r="AH19" s="7"/>
      <c r="AI19" s="7"/>
      <c r="AJ19" s="2"/>
      <c r="AL19" s="1"/>
      <c r="AM19" s="7"/>
      <c r="AN19" s="7"/>
      <c r="AO19" s="205"/>
      <c r="AP19" s="200"/>
      <c r="AQ19" s="211"/>
      <c r="AR19" s="7"/>
      <c r="AS19" s="7"/>
      <c r="AT19" s="2"/>
      <c r="AV19" s="1"/>
      <c r="AW19" s="7"/>
      <c r="AX19" s="7"/>
      <c r="AY19" s="205"/>
      <c r="AZ19" s="43"/>
      <c r="BA19" s="211"/>
      <c r="BB19" s="7"/>
      <c r="BC19" s="7"/>
      <c r="BD19" s="2"/>
      <c r="BF19" s="1"/>
      <c r="BG19" s="7"/>
      <c r="BH19" s="7"/>
      <c r="BI19" s="205"/>
      <c r="BJ19" s="195"/>
      <c r="BK19" s="211"/>
      <c r="BL19" s="7"/>
      <c r="BM19" s="7"/>
      <c r="BN19" s="2"/>
    </row>
    <row r="20" spans="2:66" x14ac:dyDescent="0.35">
      <c r="B20" s="3"/>
      <c r="C20" s="7"/>
      <c r="D20" s="7"/>
      <c r="E20" s="207"/>
      <c r="F20" s="124"/>
      <c r="G20" s="206"/>
      <c r="H20" s="7"/>
      <c r="I20" s="7"/>
      <c r="J20" s="5"/>
      <c r="AB20" s="3"/>
      <c r="AC20" s="7"/>
      <c r="AD20" s="7"/>
      <c r="AE20" s="205"/>
      <c r="AF20" s="105"/>
      <c r="AG20" s="211"/>
      <c r="AH20" s="7"/>
      <c r="AI20" s="7"/>
      <c r="AJ20" s="5"/>
      <c r="AL20" s="3"/>
      <c r="AM20" s="7"/>
      <c r="AN20" s="7"/>
      <c r="AO20" s="205"/>
      <c r="AP20" s="200"/>
      <c r="AQ20" s="211"/>
      <c r="AR20" s="7"/>
      <c r="AS20" s="7"/>
      <c r="AT20" s="5"/>
      <c r="AV20" s="3"/>
      <c r="AW20" s="7"/>
      <c r="AX20" s="7"/>
      <c r="AY20" s="205"/>
      <c r="AZ20" s="43"/>
      <c r="BA20" s="211"/>
      <c r="BB20" s="7"/>
      <c r="BC20" s="7"/>
      <c r="BD20" s="5"/>
      <c r="BF20" s="3"/>
      <c r="BG20" s="7"/>
      <c r="BH20" s="7"/>
      <c r="BI20" s="205"/>
      <c r="BJ20" s="195"/>
      <c r="BK20" s="211"/>
      <c r="BL20" s="7"/>
      <c r="BM20" s="7"/>
      <c r="BN20" s="5"/>
    </row>
    <row r="21" spans="2:66" ht="15" thickBot="1" x14ac:dyDescent="0.4">
      <c r="B21" s="4"/>
      <c r="C21" s="7"/>
      <c r="D21" s="7"/>
      <c r="E21" s="207"/>
      <c r="F21" s="124"/>
      <c r="G21" s="206"/>
      <c r="H21" s="7"/>
      <c r="I21" s="7"/>
      <c r="J21" s="6"/>
      <c r="AB21" s="4"/>
      <c r="AC21" s="7"/>
      <c r="AD21" s="7"/>
      <c r="AE21" s="205"/>
      <c r="AF21" s="105"/>
      <c r="AG21" s="211"/>
      <c r="AH21" s="7"/>
      <c r="AI21" s="7"/>
      <c r="AJ21" s="6"/>
      <c r="AL21" s="4"/>
      <c r="AM21" s="7"/>
      <c r="AN21" s="7"/>
      <c r="AO21" s="205"/>
      <c r="AP21" s="200"/>
      <c r="AQ21" s="211"/>
      <c r="AR21" s="7"/>
      <c r="AS21" s="7"/>
      <c r="AT21" s="6"/>
      <c r="AV21" s="4"/>
      <c r="AW21" s="7"/>
      <c r="AX21" s="7"/>
      <c r="AY21" s="205"/>
      <c r="AZ21" s="43"/>
      <c r="BA21" s="211"/>
      <c r="BB21" s="7"/>
      <c r="BC21" s="7"/>
      <c r="BD21" s="6"/>
      <c r="BF21" s="4"/>
      <c r="BG21" s="7"/>
      <c r="BH21" s="7"/>
      <c r="BI21" s="205"/>
      <c r="BJ21" s="195"/>
      <c r="BK21" s="211"/>
      <c r="BL21" s="7"/>
      <c r="BM21" s="7"/>
      <c r="BN21" s="6"/>
    </row>
    <row r="22" spans="2:66" ht="15" thickTop="1" x14ac:dyDescent="0.35">
      <c r="D22" s="16"/>
      <c r="E22" s="207"/>
      <c r="F22" s="124"/>
      <c r="G22" s="206"/>
      <c r="H22" s="18"/>
      <c r="AD22" s="16"/>
      <c r="AE22" s="205"/>
      <c r="AF22" s="105"/>
      <c r="AG22" s="211"/>
      <c r="AH22" s="18"/>
      <c r="AN22" s="16"/>
      <c r="AO22" s="205"/>
      <c r="AP22" s="200"/>
      <c r="AQ22" s="211"/>
      <c r="AR22" s="18"/>
      <c r="AX22" s="16"/>
      <c r="AY22" s="205"/>
      <c r="AZ22" s="43"/>
      <c r="BA22" s="211"/>
      <c r="BB22" s="18"/>
      <c r="BH22" s="16"/>
      <c r="BI22" s="205"/>
      <c r="BJ22" s="195"/>
      <c r="BK22" s="211"/>
      <c r="BL22" s="18"/>
    </row>
    <row r="23" spans="2:66" x14ac:dyDescent="0.35">
      <c r="D23" s="16"/>
      <c r="E23" s="207"/>
      <c r="F23" s="124"/>
      <c r="G23" s="206"/>
      <c r="H23" s="18"/>
      <c r="AD23" s="16"/>
      <c r="AE23" s="205"/>
      <c r="AF23" s="105"/>
      <c r="AG23" s="211"/>
      <c r="AH23" s="18"/>
      <c r="AN23" s="16"/>
      <c r="AO23" s="205"/>
      <c r="AP23" s="200"/>
      <c r="AQ23" s="211"/>
      <c r="AR23" s="18"/>
      <c r="AX23" s="16"/>
      <c r="AY23" s="205"/>
      <c r="AZ23" s="43"/>
      <c r="BA23" s="211"/>
      <c r="BB23" s="18"/>
      <c r="BH23" s="16"/>
      <c r="BI23" s="205"/>
      <c r="BJ23" s="195"/>
      <c r="BK23" s="211"/>
      <c r="BL23" s="18"/>
    </row>
    <row r="24" spans="2:66" x14ac:dyDescent="0.35">
      <c r="D24" s="16"/>
      <c r="E24" s="207"/>
      <c r="F24" s="124"/>
      <c r="G24" s="206"/>
      <c r="H24" s="18"/>
      <c r="AD24" s="16"/>
      <c r="AE24" s="205"/>
      <c r="AF24" s="105"/>
      <c r="AG24" s="211"/>
      <c r="AH24" s="18"/>
      <c r="AN24" s="16"/>
      <c r="AO24" s="205"/>
      <c r="AP24" s="200"/>
      <c r="AQ24" s="211"/>
      <c r="AR24" s="18"/>
      <c r="AX24" s="16"/>
      <c r="AY24" s="205"/>
      <c r="AZ24" s="43"/>
      <c r="BA24" s="211"/>
      <c r="BB24" s="18"/>
      <c r="BH24" s="16"/>
      <c r="BI24" s="205"/>
      <c r="BJ24" s="195"/>
      <c r="BK24" s="211"/>
      <c r="BL24" s="18"/>
    </row>
    <row r="25" spans="2:66" x14ac:dyDescent="0.35">
      <c r="B25" t="s">
        <v>49</v>
      </c>
      <c r="D25" s="16"/>
      <c r="E25" s="207"/>
      <c r="F25" s="124"/>
      <c r="G25" s="206"/>
      <c r="H25" s="18"/>
      <c r="I25" t="s">
        <v>61</v>
      </c>
      <c r="AD25" s="16"/>
      <c r="AE25" s="205"/>
      <c r="AF25" s="105"/>
      <c r="AG25" s="211"/>
      <c r="AH25" s="18"/>
      <c r="AN25" s="16"/>
      <c r="AO25" s="205"/>
      <c r="AP25" s="200"/>
      <c r="AQ25" s="211"/>
      <c r="AR25" s="18"/>
      <c r="AX25" s="16"/>
      <c r="AY25" s="205"/>
      <c r="AZ25" s="43"/>
      <c r="BA25" s="211"/>
      <c r="BB25" s="18"/>
      <c r="BH25" s="16"/>
      <c r="BI25" s="205"/>
      <c r="BJ25" s="195"/>
      <c r="BK25" s="211"/>
      <c r="BL25" s="18"/>
    </row>
    <row r="26" spans="2:66" x14ac:dyDescent="0.35">
      <c r="C26" s="74" t="s">
        <v>50</v>
      </c>
      <c r="D26" s="16"/>
      <c r="E26" s="90"/>
      <c r="F26" s="124"/>
      <c r="G26" s="93"/>
      <c r="H26" s="18"/>
      <c r="I26" t="s">
        <v>62</v>
      </c>
      <c r="AD26" s="16"/>
      <c r="AE26" s="90"/>
      <c r="AF26" s="105"/>
      <c r="AG26" s="93"/>
      <c r="AH26" s="18"/>
      <c r="AN26" s="16"/>
      <c r="AO26" s="90"/>
      <c r="AP26" s="200"/>
      <c r="AQ26" s="93"/>
      <c r="AR26" s="18"/>
      <c r="AX26" s="16"/>
      <c r="AY26" s="90"/>
      <c r="AZ26" s="43"/>
      <c r="BA26" s="93"/>
      <c r="BB26" s="18"/>
      <c r="BH26" s="16"/>
      <c r="BI26" s="90"/>
      <c r="BJ26" s="195"/>
      <c r="BK26" s="93"/>
      <c r="BL26" s="18"/>
    </row>
    <row r="27" spans="2:66" x14ac:dyDescent="0.35">
      <c r="D27" s="16"/>
      <c r="E27" s="90"/>
      <c r="F27" s="124"/>
      <c r="G27" s="93"/>
      <c r="H27" s="18"/>
      <c r="AD27" s="16"/>
      <c r="AE27" s="90"/>
      <c r="AF27" s="105"/>
      <c r="AG27" s="93"/>
      <c r="AH27" s="18"/>
      <c r="AN27" s="16"/>
      <c r="AO27" s="90"/>
      <c r="AP27" s="200"/>
      <c r="AQ27" s="93"/>
      <c r="AR27" s="18"/>
      <c r="AX27" s="16"/>
      <c r="AY27" s="90"/>
      <c r="AZ27" s="43"/>
      <c r="BA27" s="93"/>
      <c r="BB27" s="18"/>
      <c r="BC27" t="s">
        <v>92</v>
      </c>
      <c r="BH27" s="16"/>
      <c r="BI27" s="90"/>
      <c r="BJ27" s="195"/>
      <c r="BK27" s="93"/>
      <c r="BL27" s="18"/>
      <c r="BM27" t="s">
        <v>92</v>
      </c>
    </row>
    <row r="28" spans="2:66" x14ac:dyDescent="0.35">
      <c r="D28" s="16"/>
      <c r="E28" s="90"/>
      <c r="F28" s="124"/>
      <c r="G28" s="93"/>
      <c r="H28" s="18"/>
      <c r="J28" t="s">
        <v>45</v>
      </c>
      <c r="AD28" s="16"/>
      <c r="AE28" s="90"/>
      <c r="AF28" s="105"/>
      <c r="AG28" s="93"/>
      <c r="AH28" s="18"/>
      <c r="AN28" s="16"/>
      <c r="AO28" s="90"/>
      <c r="AP28" s="200"/>
      <c r="AQ28" s="93"/>
      <c r="AR28" s="18"/>
      <c r="AX28" s="16"/>
      <c r="AY28" s="90"/>
      <c r="AZ28" s="124"/>
      <c r="BA28" s="93"/>
      <c r="BB28" s="18"/>
      <c r="BH28" s="16"/>
      <c r="BI28" s="90"/>
      <c r="BJ28" s="195"/>
      <c r="BK28" s="93"/>
      <c r="BL28" s="18"/>
    </row>
    <row r="29" spans="2:66" x14ac:dyDescent="0.35">
      <c r="D29" s="64"/>
      <c r="E29" s="91"/>
      <c r="F29" s="125"/>
      <c r="G29" s="91"/>
      <c r="H29" s="71"/>
      <c r="I29" s="71"/>
      <c r="J29" s="71"/>
      <c r="AD29" s="64"/>
      <c r="AE29" s="91"/>
      <c r="AF29" s="120"/>
      <c r="AG29" s="91"/>
      <c r="AH29" s="71"/>
      <c r="AI29" s="71"/>
      <c r="AJ29" s="71"/>
      <c r="AN29" s="64"/>
      <c r="AO29" s="91"/>
      <c r="AP29" s="201"/>
      <c r="AQ29" s="91"/>
      <c r="AR29" s="71"/>
      <c r="AS29" s="71"/>
      <c r="AT29" s="71"/>
      <c r="AX29" s="64"/>
      <c r="AY29" s="91"/>
      <c r="AZ29" s="125"/>
      <c r="BA29" s="91"/>
      <c r="BB29" s="71"/>
      <c r="BC29" s="71"/>
      <c r="BD29" s="71"/>
      <c r="BH29" s="64"/>
      <c r="BI29" s="91"/>
      <c r="BJ29" s="196"/>
      <c r="BK29" s="91"/>
      <c r="BL29" s="71"/>
      <c r="BM29" s="71"/>
      <c r="BN29" s="71"/>
    </row>
    <row r="30" spans="2:66" x14ac:dyDescent="0.35">
      <c r="E30" s="26"/>
      <c r="F30" s="208" t="s">
        <v>90</v>
      </c>
      <c r="G30" s="25"/>
      <c r="H30" s="71"/>
      <c r="I30" s="71"/>
      <c r="J30" s="71"/>
      <c r="AE30" s="26"/>
      <c r="AF30" s="120"/>
      <c r="AG30" s="25"/>
      <c r="AH30" s="71"/>
      <c r="AI30" s="71"/>
      <c r="AJ30" s="71"/>
      <c r="AO30" s="26"/>
      <c r="AP30" s="201"/>
      <c r="AQ30" s="25"/>
      <c r="AS30" s="71"/>
      <c r="AT30" s="71"/>
      <c r="AY30" s="26"/>
      <c r="AZ30" s="125"/>
      <c r="BA30" s="25"/>
      <c r="BB30" s="71"/>
      <c r="BC30" s="71"/>
      <c r="BD30" s="71"/>
      <c r="BI30" s="26"/>
      <c r="BJ30" s="196"/>
      <c r="BK30" s="25"/>
      <c r="BL30" s="71"/>
      <c r="BM30" s="71"/>
      <c r="BN30" s="71"/>
    </row>
    <row r="31" spans="2:66" x14ac:dyDescent="0.35">
      <c r="E31" s="26"/>
      <c r="F31" s="126" t="s">
        <v>55</v>
      </c>
      <c r="G31" s="25"/>
      <c r="H31" t="s">
        <v>57</v>
      </c>
      <c r="AE31" s="26"/>
      <c r="AF31" s="105"/>
      <c r="AG31" s="25"/>
      <c r="AO31" s="26"/>
      <c r="AP31" s="200"/>
      <c r="AQ31" s="25"/>
      <c r="AY31" s="26"/>
      <c r="AZ31" s="124"/>
      <c r="BA31" s="25"/>
      <c r="BI31" s="26"/>
      <c r="BJ31" s="195"/>
      <c r="BK31" s="25"/>
    </row>
    <row r="32" spans="2:66" x14ac:dyDescent="0.35">
      <c r="E32" s="26"/>
      <c r="F32" s="126" t="s">
        <v>56</v>
      </c>
      <c r="G32" s="25"/>
      <c r="H32" s="136" t="s">
        <v>58</v>
      </c>
      <c r="AE32" s="26"/>
      <c r="AF32" s="105"/>
      <c r="AG32" s="25"/>
      <c r="AO32" s="26"/>
      <c r="AP32" s="200"/>
      <c r="AQ32" s="25"/>
      <c r="AY32" s="26"/>
      <c r="AZ32" s="124"/>
      <c r="BA32" s="25"/>
      <c r="BI32" s="26"/>
      <c r="BJ32" s="195"/>
      <c r="BK32" s="25"/>
    </row>
    <row r="33" spans="2:66" x14ac:dyDescent="0.35">
      <c r="E33" s="26"/>
      <c r="F33" s="124"/>
      <c r="G33" s="25"/>
      <c r="H33" s="292"/>
      <c r="I33" s="292"/>
      <c r="J33" s="292"/>
      <c r="AE33" s="26"/>
      <c r="AF33" s="105"/>
      <c r="AG33" s="25"/>
      <c r="AH33" s="292"/>
      <c r="AI33" s="292"/>
      <c r="AJ33" s="292"/>
      <c r="AO33" s="26"/>
      <c r="AP33" s="122"/>
      <c r="AQ33" s="25"/>
      <c r="AR33" s="85" t="s">
        <v>39</v>
      </c>
      <c r="AS33" s="85"/>
      <c r="AT33" s="85"/>
      <c r="AY33" s="26"/>
      <c r="AZ33" s="124"/>
      <c r="BA33" s="25"/>
      <c r="BB33" s="292"/>
      <c r="BC33" s="292"/>
      <c r="BD33" s="292"/>
      <c r="BI33" s="26"/>
      <c r="BJ33" s="195"/>
      <c r="BK33" s="25"/>
      <c r="BL33" s="292"/>
      <c r="BM33" s="292"/>
      <c r="BN33" s="292"/>
    </row>
    <row r="34" spans="2:66" x14ac:dyDescent="0.35">
      <c r="E34" s="26"/>
      <c r="F34" s="124"/>
      <c r="G34" s="25"/>
      <c r="H34" s="292"/>
      <c r="I34" s="292"/>
      <c r="J34" s="292"/>
      <c r="AE34" s="26"/>
      <c r="AF34" s="105"/>
      <c r="AG34" s="25"/>
      <c r="AH34" s="292"/>
      <c r="AI34" s="292"/>
      <c r="AJ34" s="292"/>
      <c r="AO34" s="26"/>
      <c r="AP34" s="105"/>
      <c r="AQ34" s="25"/>
      <c r="AR34" s="85"/>
      <c r="AS34" s="85"/>
      <c r="AT34" s="85"/>
      <c r="AY34" s="26"/>
      <c r="AZ34" s="124"/>
      <c r="BA34" s="25"/>
      <c r="BB34" s="292"/>
      <c r="BC34" s="292"/>
      <c r="BD34" s="292"/>
      <c r="BI34" s="26"/>
      <c r="BJ34" s="195"/>
      <c r="BK34" s="25"/>
      <c r="BL34" s="292"/>
      <c r="BM34" s="292"/>
      <c r="BN34" s="292"/>
    </row>
    <row r="35" spans="2:66" x14ac:dyDescent="0.35">
      <c r="B35" s="312"/>
      <c r="C35" s="312"/>
      <c r="D35" s="312"/>
      <c r="E35" s="26"/>
      <c r="F35" s="124"/>
      <c r="G35" s="25"/>
      <c r="H35" s="312"/>
      <c r="I35" s="312"/>
      <c r="J35" s="312"/>
      <c r="AE35" s="26"/>
      <c r="AF35" s="105"/>
      <c r="AG35" s="25"/>
      <c r="AH35" s="292"/>
      <c r="AI35" s="292"/>
      <c r="AJ35" s="292"/>
      <c r="AL35" s="58"/>
      <c r="AM35" s="58"/>
      <c r="AN35" s="58"/>
      <c r="AO35" s="92"/>
      <c r="AP35" s="121"/>
      <c r="AQ35" s="94"/>
      <c r="AR35" s="58"/>
      <c r="AS35" s="58"/>
      <c r="AT35" s="58"/>
      <c r="AV35" s="58"/>
      <c r="AW35" s="58"/>
      <c r="AX35" s="58"/>
      <c r="AY35" s="92"/>
      <c r="AZ35" s="124"/>
      <c r="BA35" s="94"/>
      <c r="BB35" s="58"/>
      <c r="BC35" s="58"/>
      <c r="BD35" s="58"/>
      <c r="BF35" s="58"/>
      <c r="BG35" s="58"/>
      <c r="BH35" s="58"/>
      <c r="BI35" s="92"/>
      <c r="BJ35" s="195"/>
      <c r="BK35" s="94"/>
      <c r="BL35" s="58"/>
      <c r="BM35" s="58"/>
      <c r="BN35" s="58"/>
    </row>
    <row r="36" spans="2:66" x14ac:dyDescent="0.35">
      <c r="B36" s="312"/>
      <c r="C36" s="312"/>
      <c r="D36" s="312"/>
      <c r="E36" s="26"/>
      <c r="F36" s="124"/>
      <c r="G36" s="25"/>
      <c r="H36" s="312"/>
      <c r="I36" s="312"/>
      <c r="J36" s="312"/>
      <c r="AE36" s="26"/>
      <c r="AF36" s="105"/>
      <c r="AG36" s="25"/>
      <c r="AH36" s="292"/>
      <c r="AI36" s="292"/>
      <c r="AJ36" s="292"/>
      <c r="AL36" s="58"/>
      <c r="AM36" s="58"/>
      <c r="AN36" s="58"/>
      <c r="AO36" s="92"/>
      <c r="AP36" s="121"/>
      <c r="AQ36" s="94"/>
      <c r="AR36" s="58"/>
      <c r="AS36" s="58"/>
      <c r="AT36" s="58"/>
      <c r="AV36" s="58"/>
      <c r="AW36" s="58"/>
      <c r="AX36" s="58"/>
      <c r="AY36" s="92"/>
      <c r="AZ36" s="124"/>
      <c r="BA36" s="94"/>
      <c r="BB36" s="58"/>
      <c r="BC36" s="58"/>
      <c r="BD36" s="58"/>
      <c r="BF36" s="58"/>
      <c r="BG36" s="58"/>
      <c r="BH36" s="58"/>
      <c r="BI36" s="92"/>
      <c r="BJ36" s="195"/>
      <c r="BK36" s="94"/>
      <c r="BL36" s="58"/>
      <c r="BM36" s="58"/>
      <c r="BN36" s="58"/>
    </row>
    <row r="37" spans="2:66" x14ac:dyDescent="0.35">
      <c r="E37" s="26"/>
      <c r="F37" s="124"/>
      <c r="G37" s="25"/>
      <c r="H37" s="85"/>
      <c r="I37" s="85"/>
      <c r="J37" s="85"/>
      <c r="AE37" s="26"/>
      <c r="AF37" s="105"/>
      <c r="AG37" s="25"/>
      <c r="AH37" s="292"/>
      <c r="AI37" s="292"/>
      <c r="AJ37" s="292"/>
      <c r="AO37" s="26"/>
      <c r="AP37" s="105"/>
      <c r="AQ37" s="25"/>
      <c r="AR37" s="292"/>
      <c r="AS37" s="292"/>
      <c r="AT37" s="292"/>
      <c r="AY37" s="26"/>
      <c r="AZ37" s="124"/>
      <c r="BA37" s="25"/>
      <c r="BB37" s="292"/>
      <c r="BC37" s="292"/>
      <c r="BD37" s="292"/>
      <c r="BI37" s="26"/>
      <c r="BJ37" s="195"/>
      <c r="BK37" s="25"/>
      <c r="BL37" s="292"/>
      <c r="BM37" s="292"/>
      <c r="BN37" s="292"/>
    </row>
    <row r="38" spans="2:66" x14ac:dyDescent="0.35">
      <c r="D38" s="74" t="s">
        <v>48</v>
      </c>
      <c r="E38" s="131"/>
      <c r="F38" s="124"/>
      <c r="G38" s="132"/>
      <c r="H38" s="85" t="s">
        <v>46</v>
      </c>
      <c r="I38" s="85"/>
      <c r="J38" s="85"/>
      <c r="AE38" s="26"/>
      <c r="AF38" s="105"/>
      <c r="AG38" s="25"/>
      <c r="AH38" s="292"/>
      <c r="AI38" s="292"/>
      <c r="AJ38" s="292"/>
      <c r="AO38" s="26"/>
      <c r="AP38" s="105"/>
      <c r="AQ38" s="25"/>
      <c r="AR38" s="292"/>
      <c r="AS38" s="292"/>
      <c r="AT38" s="292"/>
      <c r="AY38" s="26"/>
      <c r="AZ38" s="124"/>
      <c r="BA38" s="25"/>
      <c r="BB38" s="292"/>
      <c r="BC38" s="292"/>
      <c r="BD38" s="292"/>
      <c r="BI38" s="26"/>
      <c r="BJ38" s="195"/>
      <c r="BK38" s="25"/>
      <c r="BL38" s="292"/>
      <c r="BM38" s="292"/>
      <c r="BN38" s="292"/>
    </row>
    <row r="39" spans="2:66" x14ac:dyDescent="0.35">
      <c r="E39" s="131"/>
      <c r="F39" s="124"/>
      <c r="G39" s="132"/>
      <c r="H39" t="s">
        <v>47</v>
      </c>
      <c r="AE39" s="26"/>
      <c r="AF39" s="105"/>
      <c r="AG39" s="25"/>
      <c r="AO39" s="26"/>
      <c r="AP39" s="105"/>
      <c r="AQ39" s="25"/>
      <c r="AY39" s="26"/>
      <c r="AZ39" s="124"/>
      <c r="BA39" s="25"/>
      <c r="BI39" s="26"/>
      <c r="BJ39" s="195"/>
      <c r="BK39" s="25"/>
    </row>
    <row r="40" spans="2:66" x14ac:dyDescent="0.35">
      <c r="E40" s="132"/>
      <c r="F40" s="133" t="s">
        <v>1</v>
      </c>
      <c r="G40" s="132"/>
      <c r="AE40" s="25"/>
      <c r="AF40" s="198"/>
      <c r="AG40" s="25"/>
      <c r="AO40" s="25"/>
      <c r="AP40" s="111" t="s">
        <v>1</v>
      </c>
      <c r="AQ40" s="25"/>
      <c r="AY40" s="25"/>
      <c r="AZ40" s="126"/>
      <c r="BA40" s="25"/>
      <c r="BI40" s="25"/>
      <c r="BJ40" s="197"/>
      <c r="BK40" s="25"/>
    </row>
    <row r="41" spans="2:66" ht="15" thickBot="1" x14ac:dyDescent="0.4">
      <c r="D41" s="74" t="s">
        <v>44</v>
      </c>
      <c r="E41" s="132"/>
      <c r="F41" s="134" t="s">
        <v>1</v>
      </c>
      <c r="G41" s="132"/>
      <c r="H41" t="s">
        <v>59</v>
      </c>
      <c r="AE41" s="25"/>
      <c r="AF41" s="198"/>
      <c r="AG41" s="25"/>
      <c r="AO41" s="25"/>
      <c r="AP41" s="112" t="s">
        <v>1</v>
      </c>
      <c r="AQ41" s="25"/>
      <c r="AY41" s="25"/>
      <c r="AZ41" s="126"/>
      <c r="BA41" s="25"/>
      <c r="BI41" s="25"/>
      <c r="BJ41" s="197"/>
      <c r="BK41" s="25"/>
    </row>
    <row r="42" spans="2:66" ht="15" thickTop="1" x14ac:dyDescent="0.35">
      <c r="E42" s="132"/>
      <c r="F42" s="132"/>
      <c r="G42" s="132"/>
      <c r="H42" s="136" t="s">
        <v>60</v>
      </c>
      <c r="AE42" s="25"/>
      <c r="AF42" s="209"/>
      <c r="AG42" s="25"/>
      <c r="AO42" s="25"/>
      <c r="AP42" s="25"/>
      <c r="AQ42" s="25"/>
      <c r="AY42" s="25"/>
      <c r="AZ42" s="212"/>
      <c r="BA42" s="25"/>
      <c r="BI42" s="25"/>
      <c r="BJ42" s="216"/>
      <c r="BK42" s="25"/>
    </row>
    <row r="43" spans="2:66" x14ac:dyDescent="0.35">
      <c r="AF43" s="209"/>
      <c r="AZ43" s="212"/>
      <c r="BJ43" s="216"/>
    </row>
    <row r="44" spans="2:66" x14ac:dyDescent="0.35">
      <c r="AF44" s="209"/>
      <c r="AZ44" s="212"/>
      <c r="BJ44" s="216"/>
    </row>
    <row r="45" spans="2:66" x14ac:dyDescent="0.35">
      <c r="AF45" s="209"/>
      <c r="AZ45" s="212"/>
      <c r="BJ45" s="216"/>
    </row>
    <row r="46" spans="2:66" x14ac:dyDescent="0.35">
      <c r="AF46" s="209"/>
      <c r="AZ46" s="212"/>
      <c r="BJ46" s="216"/>
    </row>
    <row r="47" spans="2:66" x14ac:dyDescent="0.35">
      <c r="AF47" s="209"/>
      <c r="AZ47" s="212"/>
      <c r="BJ47" s="216"/>
    </row>
    <row r="48" spans="2:66" x14ac:dyDescent="0.35">
      <c r="AF48" s="209"/>
      <c r="AZ48" s="212"/>
      <c r="BJ48" s="216"/>
      <c r="BK48" s="215" t="s">
        <v>96</v>
      </c>
    </row>
    <row r="49" spans="28:66" x14ac:dyDescent="0.35">
      <c r="AB49" s="58"/>
      <c r="AC49" s="58"/>
      <c r="AD49" s="58"/>
      <c r="AE49" s="58"/>
      <c r="AF49" s="210"/>
      <c r="AG49" s="58"/>
      <c r="AH49" s="58"/>
      <c r="AI49" s="58"/>
      <c r="AJ49" s="58"/>
      <c r="AV49" s="58"/>
      <c r="AW49" s="58"/>
      <c r="AX49" s="58"/>
      <c r="AY49" s="58"/>
      <c r="AZ49" s="213"/>
      <c r="BA49" s="58"/>
      <c r="BB49" s="58"/>
      <c r="BC49" s="58"/>
      <c r="BD49" s="58"/>
      <c r="BF49" s="58"/>
      <c r="BG49" s="58"/>
      <c r="BH49" s="58"/>
      <c r="BI49" s="58"/>
      <c r="BJ49" s="217"/>
      <c r="BK49" s="58"/>
      <c r="BL49" s="58"/>
      <c r="BM49" s="58"/>
      <c r="BN49" s="58"/>
    </row>
  </sheetData>
  <mergeCells count="14">
    <mergeCell ref="BL33:BN34"/>
    <mergeCell ref="BL37:BN38"/>
    <mergeCell ref="F16:F17"/>
    <mergeCell ref="H33:J34"/>
    <mergeCell ref="AF16:AF17"/>
    <mergeCell ref="AH33:AJ34"/>
    <mergeCell ref="AH37:AJ38"/>
    <mergeCell ref="AP16:AP17"/>
    <mergeCell ref="AR37:AT38"/>
    <mergeCell ref="AZ16:AZ17"/>
    <mergeCell ref="BB33:BD34"/>
    <mergeCell ref="BB37:BD38"/>
    <mergeCell ref="BJ16:BJ17"/>
    <mergeCell ref="AH35:AJ36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W47"/>
  <sheetViews>
    <sheetView showGridLines="0" topLeftCell="A4" workbookViewId="0">
      <selection activeCell="L2" sqref="L2:X46"/>
    </sheetView>
  </sheetViews>
  <sheetFormatPr defaultRowHeight="14.5" x14ac:dyDescent="0.35"/>
  <cols>
    <col min="2" max="2" width="3.81640625" customWidth="1"/>
    <col min="3" max="3" width="1.1796875" customWidth="1"/>
    <col min="4" max="4" width="1.81640625" customWidth="1"/>
    <col min="5" max="5" width="2" customWidth="1"/>
    <col min="6" max="6" width="9.453125" customWidth="1"/>
    <col min="7" max="8" width="2" customWidth="1"/>
    <col min="9" max="9" width="1.1796875" customWidth="1"/>
    <col min="10" max="10" width="3.81640625" customWidth="1"/>
    <col min="12" max="12" width="4.453125" customWidth="1"/>
    <col min="14" max="14" width="3.81640625" customWidth="1"/>
    <col min="15" max="15" width="1.1796875" customWidth="1"/>
    <col min="16" max="16" width="1.81640625" customWidth="1"/>
    <col min="17" max="17" width="2" customWidth="1"/>
    <col min="18" max="18" width="9.453125" customWidth="1"/>
    <col min="19" max="20" width="2" customWidth="1"/>
    <col min="21" max="21" width="1.1796875" customWidth="1"/>
    <col min="22" max="22" width="3.81640625" customWidth="1"/>
    <col min="24" max="24" width="5.26953125" customWidth="1"/>
  </cols>
  <sheetData>
    <row r="1" spans="2:23" ht="18.5" x14ac:dyDescent="0.45">
      <c r="F1" s="128"/>
      <c r="R1" s="128"/>
    </row>
    <row r="2" spans="2:23" ht="26" x14ac:dyDescent="0.6">
      <c r="F2" s="128"/>
      <c r="R2" s="232" t="s">
        <v>111</v>
      </c>
    </row>
    <row r="3" spans="2:23" ht="18.5" x14ac:dyDescent="0.45">
      <c r="F3" s="128"/>
      <c r="R3" s="128" t="s">
        <v>109</v>
      </c>
    </row>
    <row r="4" spans="2:23" ht="18.5" x14ac:dyDescent="0.45">
      <c r="F4" s="128"/>
      <c r="R4" s="128" t="s">
        <v>110</v>
      </c>
    </row>
    <row r="5" spans="2:23" ht="18.5" x14ac:dyDescent="0.45">
      <c r="B5" s="127"/>
      <c r="C5" s="127"/>
      <c r="D5" s="127"/>
      <c r="E5" s="127"/>
      <c r="F5" s="128" t="s">
        <v>36</v>
      </c>
      <c r="G5" s="127"/>
      <c r="H5" s="127"/>
      <c r="I5" s="127"/>
      <c r="J5" s="127"/>
      <c r="K5" s="127"/>
      <c r="N5" s="127"/>
      <c r="O5" s="127"/>
      <c r="P5" s="127"/>
      <c r="Q5" s="127"/>
      <c r="S5" s="127"/>
      <c r="T5" s="127"/>
      <c r="U5" s="127"/>
      <c r="V5" s="127"/>
      <c r="W5" s="127"/>
    </row>
    <row r="6" spans="2:23" ht="18.5" x14ac:dyDescent="0.45">
      <c r="F6" s="128" t="s">
        <v>43</v>
      </c>
    </row>
    <row r="7" spans="2:23" x14ac:dyDescent="0.35">
      <c r="R7" s="124"/>
    </row>
    <row r="8" spans="2:23" x14ac:dyDescent="0.35">
      <c r="E8" s="15"/>
      <c r="F8" s="15"/>
      <c r="G8" s="15"/>
      <c r="Q8" s="15"/>
      <c r="R8" s="124"/>
      <c r="S8" s="15"/>
    </row>
    <row r="9" spans="2:23" x14ac:dyDescent="0.35">
      <c r="E9" s="15"/>
      <c r="F9" s="15"/>
      <c r="G9" s="15"/>
      <c r="Q9" s="15"/>
      <c r="R9" s="124"/>
      <c r="S9" s="15"/>
    </row>
    <row r="10" spans="2:23" x14ac:dyDescent="0.35">
      <c r="E10" s="15"/>
      <c r="F10" s="15"/>
      <c r="G10" s="15"/>
      <c r="Q10" s="15"/>
      <c r="R10" s="124"/>
      <c r="S10" s="15"/>
    </row>
    <row r="11" spans="2:23" x14ac:dyDescent="0.35">
      <c r="E11" s="15"/>
      <c r="F11" s="15"/>
      <c r="G11" s="15"/>
      <c r="Q11" s="15"/>
      <c r="R11" s="124"/>
      <c r="S11" s="15"/>
    </row>
    <row r="12" spans="2:23" x14ac:dyDescent="0.35">
      <c r="E12" s="15"/>
      <c r="F12" s="15"/>
      <c r="G12" s="15"/>
      <c r="Q12" s="15"/>
      <c r="R12" s="124"/>
      <c r="S12" s="15"/>
    </row>
    <row r="13" spans="2:23" x14ac:dyDescent="0.35">
      <c r="E13" s="15"/>
      <c r="F13" s="15"/>
      <c r="G13" s="15"/>
      <c r="Q13" s="15"/>
      <c r="R13" s="124"/>
      <c r="S13" s="15"/>
    </row>
    <row r="14" spans="2:23" x14ac:dyDescent="0.35">
      <c r="E14" s="15"/>
      <c r="F14" s="15"/>
      <c r="G14" s="15"/>
      <c r="Q14" s="15"/>
      <c r="R14" s="124"/>
      <c r="S14" s="15"/>
    </row>
    <row r="15" spans="2:23" x14ac:dyDescent="0.35">
      <c r="E15" s="15"/>
      <c r="F15" s="15"/>
      <c r="G15" s="15"/>
      <c r="Q15" s="15"/>
      <c r="R15" s="124"/>
      <c r="S15" s="15"/>
    </row>
    <row r="16" spans="2:23" x14ac:dyDescent="0.35">
      <c r="E16" s="15"/>
      <c r="F16" s="15"/>
      <c r="G16" s="15"/>
      <c r="Q16" s="15"/>
      <c r="R16" s="124"/>
      <c r="S16" s="15"/>
    </row>
    <row r="17" spans="2:22" x14ac:dyDescent="0.35">
      <c r="E17" s="15"/>
      <c r="F17" s="110"/>
      <c r="G17" s="15"/>
      <c r="Q17" s="15"/>
      <c r="R17" s="124"/>
      <c r="S17" s="15"/>
    </row>
    <row r="18" spans="2:22" x14ac:dyDescent="0.35">
      <c r="E18" s="107"/>
      <c r="F18" s="108"/>
      <c r="G18" s="109"/>
      <c r="Q18" s="107"/>
      <c r="R18" s="124"/>
      <c r="S18" s="109"/>
    </row>
    <row r="19" spans="2:22" ht="15" customHeight="1" x14ac:dyDescent="0.35">
      <c r="D19" s="28"/>
      <c r="E19" s="29"/>
      <c r="F19" s="293"/>
      <c r="G19" s="29"/>
      <c r="H19" s="30"/>
      <c r="P19" s="28"/>
      <c r="Q19" s="29"/>
      <c r="R19" s="124"/>
      <c r="S19" s="29"/>
      <c r="T19" s="30"/>
    </row>
    <row r="20" spans="2:22" ht="15" customHeight="1" x14ac:dyDescent="0.35">
      <c r="D20" s="31"/>
      <c r="E20" s="32"/>
      <c r="F20" s="294"/>
      <c r="G20" s="32"/>
      <c r="H20" s="33"/>
      <c r="P20" s="31"/>
      <c r="Q20" s="32"/>
      <c r="R20" s="124"/>
      <c r="S20" s="32"/>
      <c r="T20" s="33"/>
    </row>
    <row r="21" spans="2:22" x14ac:dyDescent="0.35">
      <c r="E21" s="207"/>
      <c r="F21" s="123"/>
      <c r="G21" s="206"/>
      <c r="Q21" s="205"/>
      <c r="R21" s="124"/>
      <c r="S21" s="211"/>
    </row>
    <row r="22" spans="2:22" x14ac:dyDescent="0.35">
      <c r="B22" s="1"/>
      <c r="C22" s="7"/>
      <c r="D22" s="7"/>
      <c r="E22" s="207"/>
      <c r="F22" s="204" t="s">
        <v>94</v>
      </c>
      <c r="G22" s="206"/>
      <c r="H22" s="7"/>
      <c r="I22" s="7"/>
      <c r="J22" s="2"/>
      <c r="N22" s="1"/>
      <c r="O22" s="7"/>
      <c r="P22" s="7"/>
      <c r="Q22" s="205"/>
      <c r="R22" s="124"/>
      <c r="S22" s="211"/>
      <c r="T22" s="7"/>
      <c r="U22" s="7"/>
      <c r="V22" s="2"/>
    </row>
    <row r="23" spans="2:22" x14ac:dyDescent="0.35">
      <c r="B23" s="3"/>
      <c r="C23" s="7"/>
      <c r="D23" s="7"/>
      <c r="E23" s="207"/>
      <c r="F23" s="124"/>
      <c r="G23" s="206"/>
      <c r="H23" s="7"/>
      <c r="I23" s="7"/>
      <c r="J23" s="5"/>
      <c r="N23" s="3"/>
      <c r="O23" s="7"/>
      <c r="P23" s="7"/>
      <c r="Q23" s="205"/>
      <c r="R23" s="124"/>
      <c r="S23" s="211"/>
      <c r="T23" s="7"/>
      <c r="U23" s="7"/>
      <c r="V23" s="5"/>
    </row>
    <row r="24" spans="2:22" ht="15" thickBot="1" x14ac:dyDescent="0.4">
      <c r="B24" s="4"/>
      <c r="C24" s="7"/>
      <c r="D24" s="7"/>
      <c r="E24" s="207"/>
      <c r="F24" s="124"/>
      <c r="G24" s="206"/>
      <c r="H24" s="7"/>
      <c r="I24" s="7"/>
      <c r="J24" s="6"/>
      <c r="N24" s="4"/>
      <c r="O24" s="7"/>
      <c r="P24" s="7"/>
      <c r="Q24" s="205"/>
      <c r="R24" s="124"/>
      <c r="S24" s="211"/>
      <c r="T24" s="7"/>
      <c r="U24" s="7"/>
      <c r="V24" s="6"/>
    </row>
    <row r="25" spans="2:22" ht="15" thickTop="1" x14ac:dyDescent="0.35">
      <c r="D25" s="16"/>
      <c r="E25" s="207"/>
      <c r="F25" s="124"/>
      <c r="G25" s="206"/>
      <c r="H25" s="18"/>
      <c r="P25" s="16"/>
      <c r="Q25" s="205"/>
      <c r="R25" s="124"/>
      <c r="S25" s="211"/>
      <c r="T25" s="18"/>
    </row>
    <row r="26" spans="2:22" x14ac:dyDescent="0.35">
      <c r="D26" s="16"/>
      <c r="E26" s="207"/>
      <c r="F26" s="124"/>
      <c r="G26" s="206"/>
      <c r="H26" s="18"/>
      <c r="P26" s="16"/>
      <c r="Q26" s="205"/>
      <c r="R26" s="124"/>
      <c r="S26" s="211"/>
      <c r="T26" s="18"/>
    </row>
    <row r="27" spans="2:22" x14ac:dyDescent="0.35">
      <c r="D27" s="16"/>
      <c r="E27" s="207"/>
      <c r="F27" s="124"/>
      <c r="G27" s="206"/>
      <c r="H27" s="18"/>
      <c r="P27" s="16"/>
      <c r="Q27" s="205"/>
      <c r="R27" s="124"/>
      <c r="S27" s="211"/>
      <c r="T27" s="18"/>
    </row>
    <row r="28" spans="2:22" x14ac:dyDescent="0.35">
      <c r="B28" t="s">
        <v>49</v>
      </c>
      <c r="D28" s="16"/>
      <c r="E28" s="207"/>
      <c r="F28" s="124"/>
      <c r="G28" s="206"/>
      <c r="H28" s="18"/>
      <c r="I28" t="s">
        <v>61</v>
      </c>
      <c r="N28" t="s">
        <v>49</v>
      </c>
      <c r="P28" s="16"/>
      <c r="Q28" s="205"/>
      <c r="R28" s="124"/>
      <c r="S28" s="211"/>
      <c r="T28" s="18"/>
      <c r="U28" t="s">
        <v>61</v>
      </c>
    </row>
    <row r="29" spans="2:22" x14ac:dyDescent="0.35">
      <c r="C29" s="74" t="s">
        <v>50</v>
      </c>
      <c r="D29" s="16"/>
      <c r="E29" s="90"/>
      <c r="F29" s="124"/>
      <c r="G29" s="93"/>
      <c r="H29" s="18"/>
      <c r="I29" t="s">
        <v>62</v>
      </c>
      <c r="O29" s="74" t="s">
        <v>50</v>
      </c>
      <c r="P29" s="16"/>
      <c r="Q29" s="205"/>
      <c r="R29" s="124"/>
      <c r="S29" s="211"/>
      <c r="T29" s="18"/>
      <c r="U29" t="s">
        <v>62</v>
      </c>
    </row>
    <row r="30" spans="2:22" x14ac:dyDescent="0.35">
      <c r="D30" s="16"/>
      <c r="E30" s="90"/>
      <c r="F30" s="124"/>
      <c r="G30" s="93"/>
      <c r="H30" s="18"/>
      <c r="P30" s="16"/>
      <c r="Q30" s="205"/>
      <c r="R30" s="124"/>
      <c r="S30" s="211"/>
      <c r="T30" s="18"/>
    </row>
    <row r="31" spans="2:22" x14ac:dyDescent="0.35">
      <c r="D31" s="16"/>
      <c r="E31" s="90"/>
      <c r="F31" s="124"/>
      <c r="G31" s="93"/>
      <c r="H31" s="18"/>
      <c r="J31" t="s">
        <v>45</v>
      </c>
      <c r="P31" s="16"/>
      <c r="Q31" s="205"/>
      <c r="R31" s="124"/>
      <c r="S31" s="211"/>
      <c r="T31" s="18"/>
      <c r="V31" t="s">
        <v>45</v>
      </c>
    </row>
    <row r="32" spans="2:22" x14ac:dyDescent="0.35">
      <c r="D32" s="64"/>
      <c r="E32" s="91"/>
      <c r="F32" s="125"/>
      <c r="G32" s="91"/>
      <c r="H32" s="71"/>
      <c r="I32" s="71"/>
      <c r="J32" s="71"/>
      <c r="P32" s="64"/>
      <c r="Q32" s="218"/>
      <c r="R32" s="125"/>
      <c r="S32" s="218"/>
      <c r="T32" s="71"/>
      <c r="U32" s="71"/>
      <c r="V32" s="71"/>
    </row>
    <row r="33" spans="2:22" x14ac:dyDescent="0.35">
      <c r="E33" s="26"/>
      <c r="F33" s="208" t="s">
        <v>90</v>
      </c>
      <c r="G33" s="25"/>
      <c r="H33" s="71"/>
      <c r="I33" s="71"/>
      <c r="J33" s="71"/>
      <c r="Q33" s="170"/>
      <c r="R33" s="208"/>
      <c r="S33" s="171"/>
      <c r="T33" s="71"/>
      <c r="U33" s="71"/>
      <c r="V33" s="71"/>
    </row>
    <row r="34" spans="2:22" x14ac:dyDescent="0.35">
      <c r="E34" s="26"/>
      <c r="F34" s="126" t="s">
        <v>55</v>
      </c>
      <c r="G34" s="25"/>
      <c r="H34" t="s">
        <v>57</v>
      </c>
      <c r="Q34" s="170"/>
      <c r="R34" s="126"/>
      <c r="S34" s="171"/>
    </row>
    <row r="35" spans="2:22" x14ac:dyDescent="0.35">
      <c r="E35" s="26"/>
      <c r="F35" s="126" t="s">
        <v>56</v>
      </c>
      <c r="G35" s="25"/>
      <c r="H35" s="136" t="s">
        <v>58</v>
      </c>
      <c r="Q35" s="170"/>
      <c r="R35" s="126"/>
      <c r="S35" s="171"/>
      <c r="T35" s="136"/>
    </row>
    <row r="36" spans="2:22" x14ac:dyDescent="0.35">
      <c r="E36" s="26"/>
      <c r="F36" s="124"/>
      <c r="G36" s="25"/>
      <c r="H36" s="292"/>
      <c r="I36" s="292"/>
      <c r="J36" s="292"/>
      <c r="Q36" s="170"/>
      <c r="R36" s="124"/>
      <c r="S36" s="171"/>
      <c r="T36" s="292"/>
      <c r="U36" s="292"/>
      <c r="V36" s="292"/>
    </row>
    <row r="37" spans="2:22" ht="18.5" x14ac:dyDescent="0.45">
      <c r="E37" s="26"/>
      <c r="F37" s="124"/>
      <c r="G37" s="25"/>
      <c r="H37" s="292"/>
      <c r="I37" s="292"/>
      <c r="J37" s="292"/>
      <c r="Q37" s="170"/>
      <c r="R37" s="231" t="s">
        <v>107</v>
      </c>
      <c r="S37" s="171"/>
      <c r="T37" s="292"/>
      <c r="U37" s="292"/>
      <c r="V37" s="292"/>
    </row>
    <row r="38" spans="2:22" ht="18.5" x14ac:dyDescent="0.45">
      <c r="B38" s="58"/>
      <c r="C38" s="58"/>
      <c r="D38" s="58"/>
      <c r="E38" s="26"/>
      <c r="F38" s="124"/>
      <c r="G38" s="25"/>
      <c r="H38" s="58"/>
      <c r="I38" s="58"/>
      <c r="J38" s="58"/>
      <c r="N38" s="58"/>
      <c r="O38" s="58"/>
      <c r="P38" s="58"/>
      <c r="Q38" s="170"/>
      <c r="R38" s="231" t="s">
        <v>108</v>
      </c>
      <c r="S38" s="171"/>
      <c r="T38" s="58"/>
      <c r="U38" s="58"/>
      <c r="V38" s="58"/>
    </row>
    <row r="39" spans="2:22" x14ac:dyDescent="0.35">
      <c r="B39" s="58"/>
      <c r="C39" s="58"/>
      <c r="D39" s="58"/>
      <c r="E39" s="26"/>
      <c r="F39" s="124"/>
      <c r="G39" s="25"/>
      <c r="H39" s="58"/>
      <c r="I39" s="58"/>
      <c r="J39" s="58"/>
      <c r="N39" s="58"/>
      <c r="O39" s="58"/>
      <c r="P39" s="58"/>
      <c r="Q39" s="170"/>
      <c r="R39" s="124"/>
      <c r="S39" s="171"/>
      <c r="T39" s="58"/>
      <c r="U39" s="58"/>
      <c r="V39" s="58"/>
    </row>
    <row r="40" spans="2:22" x14ac:dyDescent="0.35">
      <c r="E40" s="26"/>
      <c r="F40" s="124"/>
      <c r="G40" s="25"/>
      <c r="H40" s="85"/>
      <c r="I40" s="85"/>
      <c r="J40" s="85"/>
      <c r="Q40" s="170"/>
      <c r="R40" s="124"/>
      <c r="S40" s="171"/>
      <c r="T40" s="85"/>
      <c r="U40" s="85"/>
      <c r="V40" s="85"/>
    </row>
    <row r="41" spans="2:22" ht="21" x14ac:dyDescent="0.5">
      <c r="D41" s="74" t="s">
        <v>48</v>
      </c>
      <c r="E41" s="131"/>
      <c r="F41" s="124"/>
      <c r="G41" s="132"/>
      <c r="H41" s="85" t="s">
        <v>100</v>
      </c>
      <c r="I41" s="85"/>
      <c r="J41" s="85"/>
      <c r="P41" s="230" t="s">
        <v>105</v>
      </c>
      <c r="Q41" s="225"/>
      <c r="R41" s="226"/>
      <c r="S41" s="227"/>
      <c r="T41" s="85" t="s">
        <v>100</v>
      </c>
      <c r="U41" s="85"/>
      <c r="V41" s="85"/>
    </row>
    <row r="42" spans="2:22" ht="21" x14ac:dyDescent="0.5">
      <c r="E42" s="131"/>
      <c r="F42" s="124"/>
      <c r="G42" s="132"/>
      <c r="P42" s="230" t="s">
        <v>106</v>
      </c>
      <c r="Q42" s="225"/>
      <c r="R42" s="226"/>
      <c r="S42" s="227"/>
    </row>
    <row r="43" spans="2:22" x14ac:dyDescent="0.35">
      <c r="E43" s="132"/>
      <c r="F43" s="133" t="s">
        <v>1</v>
      </c>
      <c r="G43" s="132"/>
      <c r="Q43" s="227"/>
      <c r="R43" s="228" t="s">
        <v>1</v>
      </c>
      <c r="S43" s="227"/>
    </row>
    <row r="44" spans="2:22" ht="15" thickBot="1" x14ac:dyDescent="0.4">
      <c r="D44" s="74" t="s">
        <v>44</v>
      </c>
      <c r="E44" s="132"/>
      <c r="F44" s="134" t="s">
        <v>1</v>
      </c>
      <c r="G44" s="132"/>
      <c r="H44" t="s">
        <v>59</v>
      </c>
      <c r="P44" s="74" t="s">
        <v>44</v>
      </c>
      <c r="Q44" s="227"/>
      <c r="R44" s="229" t="s">
        <v>1</v>
      </c>
      <c r="S44" s="227"/>
    </row>
    <row r="45" spans="2:22" ht="15" thickTop="1" x14ac:dyDescent="0.35">
      <c r="E45" s="132"/>
      <c r="F45" s="132"/>
      <c r="G45" s="132"/>
      <c r="H45" s="136" t="s">
        <v>60</v>
      </c>
      <c r="Q45" s="227"/>
      <c r="R45" s="227"/>
      <c r="S45" s="227"/>
      <c r="T45" s="136"/>
    </row>
    <row r="47" spans="2:22" ht="18.5" x14ac:dyDescent="0.45">
      <c r="F47" s="154" t="s">
        <v>93</v>
      </c>
      <c r="R47" s="154"/>
    </row>
  </sheetData>
  <mergeCells count="3">
    <mergeCell ref="F19:F20"/>
    <mergeCell ref="H36:J37"/>
    <mergeCell ref="T36:V37"/>
  </mergeCells>
  <pageMargins left="0.7" right="0.7" top="0.75" bottom="0.75" header="0.3" footer="0.3"/>
  <pageSetup paperSize="9" orientation="portrait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L29"/>
  <sheetViews>
    <sheetView showGridLines="0" topLeftCell="C7" zoomScale="110" zoomScaleNormal="110" workbookViewId="0">
      <selection activeCell="AH1" sqref="AH1:AL1048576"/>
    </sheetView>
  </sheetViews>
  <sheetFormatPr defaultRowHeight="14.5" x14ac:dyDescent="0.35"/>
  <cols>
    <col min="1" max="1" width="5.26953125" customWidth="1"/>
    <col min="2" max="2" width="8" customWidth="1"/>
    <col min="3" max="37" width="4.26953125" customWidth="1"/>
  </cols>
  <sheetData>
    <row r="1" spans="1:38" ht="21" x14ac:dyDescent="0.5">
      <c r="C1" s="247" t="s">
        <v>118</v>
      </c>
    </row>
    <row r="3" spans="1:38" x14ac:dyDescent="0.35">
      <c r="T3" s="205"/>
      <c r="U3" s="211"/>
      <c r="Y3" s="205"/>
      <c r="Z3" s="211"/>
      <c r="AD3" s="205"/>
      <c r="AE3" s="211"/>
      <c r="AI3" s="205"/>
      <c r="AJ3" s="211"/>
    </row>
    <row r="4" spans="1:38" ht="15.5" x14ac:dyDescent="0.35">
      <c r="D4" s="254" t="s">
        <v>122</v>
      </c>
      <c r="I4" s="253" t="s">
        <v>123</v>
      </c>
      <c r="T4" s="205"/>
      <c r="U4" s="211"/>
      <c r="Y4" s="205"/>
      <c r="Z4" s="211"/>
      <c r="AD4" s="205"/>
      <c r="AE4" s="211"/>
      <c r="AI4" s="205"/>
      <c r="AJ4" s="211"/>
    </row>
    <row r="5" spans="1:38" x14ac:dyDescent="0.35">
      <c r="A5" s="311" t="s">
        <v>117</v>
      </c>
      <c r="B5" s="245">
        <v>0</v>
      </c>
      <c r="C5" s="2"/>
      <c r="D5" s="15"/>
      <c r="E5" s="15"/>
      <c r="F5" s="15"/>
      <c r="G5" s="15"/>
      <c r="H5" s="15"/>
      <c r="I5" s="15"/>
      <c r="J5" s="15"/>
      <c r="S5" s="1"/>
      <c r="T5" s="171"/>
      <c r="U5" s="171"/>
      <c r="V5" s="2"/>
      <c r="X5" s="1"/>
      <c r="Y5" s="171"/>
      <c r="Z5" s="171"/>
      <c r="AA5" s="2"/>
      <c r="AC5" s="1"/>
      <c r="AD5" s="171"/>
      <c r="AE5" s="171"/>
      <c r="AF5" s="2"/>
      <c r="AH5" s="1"/>
      <c r="AI5" s="171"/>
      <c r="AJ5" s="171"/>
      <c r="AK5" s="2"/>
    </row>
    <row r="6" spans="1:38" x14ac:dyDescent="0.35">
      <c r="A6" s="311"/>
      <c r="B6" s="245">
        <f>B5+500</f>
        <v>500</v>
      </c>
      <c r="C6" s="2"/>
      <c r="D6" s="15"/>
      <c r="E6" s="15"/>
      <c r="F6" s="15"/>
      <c r="G6" s="15"/>
      <c r="H6" s="15"/>
      <c r="I6" s="15"/>
      <c r="J6" s="15"/>
      <c r="S6" s="1"/>
      <c r="T6" s="171"/>
      <c r="U6" s="171"/>
      <c r="V6" s="2"/>
      <c r="X6" s="1"/>
      <c r="Y6" s="171"/>
      <c r="Z6" s="171"/>
      <c r="AA6" s="2"/>
      <c r="AC6" s="1"/>
      <c r="AD6" s="171"/>
      <c r="AE6" s="171"/>
      <c r="AF6" s="2"/>
      <c r="AH6" s="1"/>
      <c r="AI6" s="171"/>
      <c r="AJ6" s="171"/>
      <c r="AK6" s="2"/>
    </row>
    <row r="7" spans="1:38" x14ac:dyDescent="0.35">
      <c r="A7" s="311"/>
      <c r="B7" s="245">
        <f t="shared" ref="B7:B27" si="0">B6+500</f>
        <v>1000</v>
      </c>
      <c r="C7" s="2"/>
      <c r="D7" s="15"/>
      <c r="E7" s="15"/>
      <c r="F7" s="15"/>
      <c r="G7" s="15"/>
      <c r="H7" s="15"/>
      <c r="I7" s="15"/>
      <c r="J7" s="15"/>
      <c r="S7" s="1"/>
      <c r="T7" s="171"/>
      <c r="U7" s="171"/>
      <c r="V7" s="2"/>
      <c r="X7" s="1"/>
      <c r="Y7" s="171"/>
      <c r="Z7" s="171"/>
      <c r="AA7" s="2"/>
      <c r="AC7" s="1"/>
      <c r="AD7" s="171"/>
      <c r="AE7" s="171"/>
      <c r="AF7" s="2"/>
      <c r="AH7" s="1"/>
      <c r="AI7" s="171"/>
      <c r="AJ7" s="171"/>
      <c r="AK7" s="2"/>
    </row>
    <row r="8" spans="1:38" x14ac:dyDescent="0.35">
      <c r="A8" s="311"/>
      <c r="B8" s="245">
        <f t="shared" si="0"/>
        <v>1500</v>
      </c>
      <c r="C8" s="2"/>
      <c r="D8" s="15"/>
      <c r="E8" s="15"/>
      <c r="F8" s="15"/>
      <c r="G8" s="15"/>
      <c r="H8" s="15"/>
      <c r="I8" s="15"/>
      <c r="J8" s="15"/>
      <c r="S8" s="1"/>
      <c r="T8" s="171"/>
      <c r="U8" s="171"/>
      <c r="V8" s="2"/>
      <c r="X8" s="1"/>
      <c r="Y8" s="171"/>
      <c r="Z8" s="171"/>
      <c r="AA8" s="2"/>
      <c r="AC8" s="1"/>
      <c r="AD8" s="171"/>
      <c r="AE8" s="171"/>
      <c r="AF8" s="2"/>
      <c r="AH8" s="1"/>
      <c r="AI8" s="171"/>
      <c r="AJ8" s="171"/>
      <c r="AK8" s="2"/>
    </row>
    <row r="9" spans="1:38" x14ac:dyDescent="0.35">
      <c r="A9" s="311"/>
      <c r="B9" s="245">
        <f t="shared" si="0"/>
        <v>2000</v>
      </c>
      <c r="C9" s="2"/>
      <c r="D9" s="15"/>
      <c r="E9" s="15"/>
      <c r="F9" s="15"/>
      <c r="G9" s="15"/>
      <c r="H9" s="15"/>
      <c r="I9" s="15"/>
      <c r="J9" s="15"/>
      <c r="S9" s="1"/>
      <c r="T9" s="171"/>
      <c r="U9" s="171"/>
      <c r="V9" s="2"/>
      <c r="X9" s="1"/>
      <c r="Y9" s="171"/>
      <c r="Z9" s="171"/>
      <c r="AA9" s="2"/>
      <c r="AC9" s="1"/>
      <c r="AD9" s="171"/>
      <c r="AE9" s="171"/>
      <c r="AF9" s="2"/>
      <c r="AH9" s="1"/>
      <c r="AI9" s="171"/>
      <c r="AJ9" s="171"/>
      <c r="AK9" s="2"/>
    </row>
    <row r="10" spans="1:38" ht="16" thickBot="1" x14ac:dyDescent="0.4">
      <c r="A10" s="311"/>
      <c r="B10" s="245">
        <f t="shared" si="0"/>
        <v>2500</v>
      </c>
      <c r="C10" s="241"/>
      <c r="D10" s="242"/>
      <c r="E10" s="242"/>
      <c r="F10" s="242"/>
      <c r="G10" s="242"/>
      <c r="H10" s="242"/>
      <c r="I10" s="242"/>
      <c r="J10" s="242"/>
      <c r="K10" s="242"/>
      <c r="L10" s="242"/>
      <c r="M10" s="242"/>
      <c r="N10" s="242"/>
      <c r="O10" s="242"/>
      <c r="P10" s="242"/>
      <c r="Q10" s="242"/>
      <c r="R10" s="243" t="s">
        <v>112</v>
      </c>
      <c r="S10" s="236"/>
      <c r="T10" s="171"/>
      <c r="U10" s="171"/>
      <c r="V10" s="233"/>
      <c r="X10" s="236"/>
      <c r="Y10" s="171"/>
      <c r="Z10" s="171"/>
      <c r="AA10" s="233"/>
      <c r="AC10" s="236"/>
      <c r="AD10" s="171"/>
      <c r="AE10" s="171"/>
      <c r="AF10" s="233"/>
      <c r="AH10" s="236"/>
      <c r="AI10" s="171"/>
      <c r="AJ10" s="171"/>
      <c r="AK10" s="233"/>
      <c r="AL10" s="182" t="s">
        <v>120</v>
      </c>
    </row>
    <row r="11" spans="1:38" x14ac:dyDescent="0.35">
      <c r="A11" s="311"/>
      <c r="B11" s="245">
        <f t="shared" si="0"/>
        <v>3000</v>
      </c>
      <c r="C11" s="2"/>
      <c r="D11" s="15"/>
      <c r="E11" s="15"/>
      <c r="F11" s="15"/>
      <c r="G11" s="15"/>
      <c r="H11" s="15"/>
      <c r="I11" s="15"/>
      <c r="J11" s="15"/>
      <c r="T11" s="237"/>
      <c r="U11" s="238"/>
      <c r="Y11" s="237"/>
      <c r="Z11" s="238"/>
      <c r="AD11" s="237"/>
      <c r="AE11" s="238"/>
      <c r="AI11" s="237"/>
      <c r="AJ11" s="238"/>
    </row>
    <row r="12" spans="1:38" x14ac:dyDescent="0.35">
      <c r="A12" s="311"/>
      <c r="B12" s="245">
        <f t="shared" si="0"/>
        <v>3500</v>
      </c>
      <c r="C12" s="2"/>
      <c r="D12" s="15"/>
      <c r="E12" s="15"/>
      <c r="F12" s="15"/>
      <c r="G12" s="15"/>
      <c r="H12" s="15"/>
      <c r="I12" s="15"/>
      <c r="J12" s="15"/>
      <c r="T12" s="237"/>
      <c r="U12" s="238"/>
      <c r="Y12" s="237"/>
      <c r="Z12" s="238"/>
      <c r="AD12" s="237"/>
      <c r="AE12" s="238"/>
      <c r="AI12" s="237"/>
      <c r="AJ12" s="238"/>
    </row>
    <row r="13" spans="1:38" ht="15" thickBot="1" x14ac:dyDescent="0.4">
      <c r="A13" s="311"/>
      <c r="B13" s="245">
        <f t="shared" si="0"/>
        <v>4000</v>
      </c>
      <c r="C13" s="241"/>
      <c r="D13" s="242"/>
      <c r="E13" s="242"/>
      <c r="F13" s="242"/>
      <c r="G13" s="242"/>
      <c r="H13" s="242"/>
      <c r="I13" s="242"/>
      <c r="J13" s="242"/>
      <c r="K13" s="242"/>
      <c r="L13" s="242"/>
      <c r="M13" s="242"/>
      <c r="N13" s="242"/>
      <c r="O13" s="242"/>
      <c r="P13" s="242"/>
      <c r="Q13" s="242"/>
      <c r="R13" s="242"/>
      <c r="S13" s="244" t="s">
        <v>113</v>
      </c>
      <c r="T13" s="239"/>
      <c r="U13" s="240"/>
      <c r="Y13" s="237"/>
      <c r="Z13" s="238"/>
      <c r="AD13" s="237"/>
      <c r="AE13" s="238"/>
      <c r="AI13" s="237"/>
      <c r="AJ13" s="238"/>
    </row>
    <row r="14" spans="1:38" ht="15.5" x14ac:dyDescent="0.35">
      <c r="A14" s="311"/>
      <c r="B14" s="245">
        <f t="shared" si="0"/>
        <v>4500</v>
      </c>
      <c r="C14" s="2"/>
      <c r="D14" s="15"/>
      <c r="E14" s="15"/>
      <c r="F14" s="15"/>
      <c r="G14" s="15"/>
      <c r="H14" s="15"/>
      <c r="I14" s="15"/>
      <c r="J14" s="15"/>
      <c r="T14" s="182" t="s">
        <v>119</v>
      </c>
      <c r="Y14" s="237"/>
      <c r="Z14" s="238"/>
      <c r="AD14" s="237"/>
      <c r="AE14" s="238"/>
      <c r="AI14" s="237"/>
      <c r="AJ14" s="238"/>
    </row>
    <row r="15" spans="1:38" ht="15.5" x14ac:dyDescent="0.35">
      <c r="A15" s="311"/>
      <c r="B15" s="245">
        <f t="shared" si="0"/>
        <v>5000</v>
      </c>
      <c r="C15" s="2"/>
      <c r="D15" s="15"/>
      <c r="E15" s="15"/>
      <c r="F15" s="15"/>
      <c r="G15" s="15"/>
      <c r="H15" s="15"/>
      <c r="I15" s="15"/>
      <c r="J15" s="15"/>
      <c r="T15" s="182"/>
      <c r="Y15" s="237"/>
      <c r="Z15" s="238"/>
      <c r="AD15" s="237"/>
      <c r="AE15" s="238"/>
      <c r="AI15" s="237"/>
      <c r="AJ15" s="238"/>
    </row>
    <row r="16" spans="1:38" x14ac:dyDescent="0.35">
      <c r="A16" s="311"/>
      <c r="B16" s="245">
        <f t="shared" si="0"/>
        <v>5500</v>
      </c>
      <c r="C16" s="2"/>
      <c r="D16" s="15"/>
      <c r="E16" s="15"/>
      <c r="F16" s="15"/>
      <c r="G16" s="15"/>
      <c r="H16" s="15"/>
      <c r="I16" s="15"/>
      <c r="J16" s="15"/>
      <c r="Y16" s="237"/>
      <c r="Z16" s="238"/>
      <c r="AD16" s="237"/>
      <c r="AE16" s="238"/>
      <c r="AI16" s="237"/>
      <c r="AJ16" s="238"/>
    </row>
    <row r="17" spans="1:37" x14ac:dyDescent="0.35">
      <c r="A17" s="311"/>
      <c r="B17" s="245">
        <f t="shared" si="0"/>
        <v>6000</v>
      </c>
      <c r="C17" s="2"/>
      <c r="D17" s="15"/>
      <c r="E17" s="15"/>
      <c r="F17" s="15"/>
      <c r="G17" s="15"/>
      <c r="H17" s="15"/>
      <c r="I17" s="15"/>
      <c r="J17" s="15"/>
      <c r="Y17" s="237"/>
      <c r="Z17" s="238"/>
      <c r="AD17" s="237"/>
      <c r="AE17" s="238"/>
      <c r="AI17" s="237"/>
      <c r="AJ17" s="238"/>
    </row>
    <row r="18" spans="1:37" ht="15" thickBot="1" x14ac:dyDescent="0.4">
      <c r="A18" s="311"/>
      <c r="B18" s="245">
        <f t="shared" si="0"/>
        <v>6500</v>
      </c>
      <c r="C18" s="241"/>
      <c r="D18" s="242"/>
      <c r="E18" s="242"/>
      <c r="F18" s="242"/>
      <c r="G18" s="242"/>
      <c r="H18" s="242"/>
      <c r="I18" s="242"/>
      <c r="J18" s="242"/>
      <c r="K18" s="242"/>
      <c r="L18" s="242"/>
      <c r="M18" s="242"/>
      <c r="N18" s="242"/>
      <c r="O18" s="242"/>
      <c r="P18" s="242"/>
      <c r="Q18" s="242"/>
      <c r="R18" s="242"/>
      <c r="S18" s="242"/>
      <c r="T18" s="242"/>
      <c r="U18" s="242"/>
      <c r="V18" s="242"/>
      <c r="W18" s="242"/>
      <c r="X18" s="244" t="s">
        <v>114</v>
      </c>
      <c r="Y18" s="239"/>
      <c r="Z18" s="240"/>
      <c r="AD18" s="237"/>
      <c r="AE18" s="238"/>
      <c r="AI18" s="237"/>
      <c r="AJ18" s="238"/>
    </row>
    <row r="19" spans="1:37" ht="15.5" x14ac:dyDescent="0.35">
      <c r="A19" s="311"/>
      <c r="B19" s="245">
        <f t="shared" si="0"/>
        <v>7000</v>
      </c>
      <c r="C19" s="2"/>
      <c r="D19" s="15"/>
      <c r="E19" s="15"/>
      <c r="F19" s="15"/>
      <c r="G19" s="15"/>
      <c r="H19" s="15"/>
      <c r="I19" s="15"/>
      <c r="J19" s="15"/>
      <c r="Y19" s="182" t="s">
        <v>119</v>
      </c>
      <c r="AD19" s="237"/>
      <c r="AE19" s="238"/>
      <c r="AI19" s="237"/>
      <c r="AJ19" s="238"/>
    </row>
    <row r="20" spans="1:37" ht="15.5" x14ac:dyDescent="0.35">
      <c r="A20" s="311"/>
      <c r="B20" s="245">
        <f t="shared" si="0"/>
        <v>7500</v>
      </c>
      <c r="C20" s="2"/>
      <c r="D20" s="15"/>
      <c r="E20" s="15"/>
      <c r="F20" s="15"/>
      <c r="G20" s="15"/>
      <c r="H20" s="15"/>
      <c r="I20" s="15"/>
      <c r="J20" s="15"/>
      <c r="Y20" s="182"/>
      <c r="AD20" s="237"/>
      <c r="AE20" s="238"/>
      <c r="AI20" s="237"/>
      <c r="AJ20" s="238"/>
    </row>
    <row r="21" spans="1:37" x14ac:dyDescent="0.35">
      <c r="A21" s="311"/>
      <c r="B21" s="245">
        <f t="shared" si="0"/>
        <v>8000</v>
      </c>
      <c r="C21" s="2"/>
      <c r="D21" s="15"/>
      <c r="E21" s="15"/>
      <c r="F21" s="15"/>
      <c r="G21" s="15"/>
      <c r="H21" s="15"/>
      <c r="I21" s="15"/>
      <c r="J21" s="15"/>
      <c r="AD21" s="237"/>
      <c r="AE21" s="238"/>
      <c r="AI21" s="237"/>
      <c r="AJ21" s="238"/>
    </row>
    <row r="22" spans="1:37" ht="15" thickBot="1" x14ac:dyDescent="0.4">
      <c r="A22" s="311"/>
      <c r="B22" s="245">
        <f t="shared" si="0"/>
        <v>8500</v>
      </c>
      <c r="C22" s="241"/>
      <c r="D22" s="242"/>
      <c r="E22" s="242"/>
      <c r="F22" s="242"/>
      <c r="G22" s="242"/>
      <c r="H22" s="242"/>
      <c r="I22" s="242"/>
      <c r="J22" s="242"/>
      <c r="K22" s="242"/>
      <c r="L22" s="242"/>
      <c r="M22" s="242"/>
      <c r="N22" s="242"/>
      <c r="O22" s="242"/>
      <c r="P22" s="242"/>
      <c r="Q22" s="242"/>
      <c r="R22" s="242"/>
      <c r="S22" s="242"/>
      <c r="T22" s="242"/>
      <c r="U22" s="242"/>
      <c r="V22" s="242"/>
      <c r="W22" s="242"/>
      <c r="X22" s="242"/>
      <c r="Y22" s="242"/>
      <c r="Z22" s="242"/>
      <c r="AA22" s="242"/>
      <c r="AB22" s="242"/>
      <c r="AC22" s="244" t="s">
        <v>115</v>
      </c>
      <c r="AD22" s="239"/>
      <c r="AE22" s="240"/>
      <c r="AI22" s="237"/>
      <c r="AJ22" s="238"/>
    </row>
    <row r="23" spans="1:37" ht="15.5" x14ac:dyDescent="0.35">
      <c r="A23" s="311"/>
      <c r="B23" s="245">
        <f t="shared" si="0"/>
        <v>9000</v>
      </c>
      <c r="C23" s="2"/>
      <c r="D23" s="15"/>
      <c r="E23" s="15"/>
      <c r="F23" s="15"/>
      <c r="G23" s="15"/>
      <c r="H23" s="15"/>
      <c r="I23" s="15"/>
      <c r="J23" s="15"/>
      <c r="AD23" s="182" t="s">
        <v>119</v>
      </c>
      <c r="AI23" s="237"/>
      <c r="AJ23" s="238"/>
    </row>
    <row r="24" spans="1:37" ht="16" thickBot="1" x14ac:dyDescent="0.4">
      <c r="A24" s="311"/>
      <c r="B24" s="245">
        <f t="shared" si="0"/>
        <v>9500</v>
      </c>
      <c r="C24" s="249"/>
      <c r="D24" s="250"/>
      <c r="E24" s="250"/>
      <c r="F24" s="250"/>
      <c r="G24" s="250"/>
      <c r="H24" s="250"/>
      <c r="I24" s="250"/>
      <c r="J24" s="250"/>
      <c r="K24" s="250"/>
      <c r="L24" s="250"/>
      <c r="M24" s="250"/>
      <c r="N24" s="250"/>
      <c r="O24" s="250"/>
      <c r="P24" s="250"/>
      <c r="Q24" s="250"/>
      <c r="R24" s="250"/>
      <c r="S24" s="250"/>
      <c r="T24" s="250"/>
      <c r="U24" s="250"/>
      <c r="V24" s="250"/>
      <c r="W24" s="250"/>
      <c r="X24" s="250"/>
      <c r="Y24" s="250"/>
      <c r="Z24" s="250"/>
      <c r="AA24" s="250"/>
      <c r="AB24" s="250"/>
      <c r="AC24" s="250"/>
      <c r="AD24" s="251"/>
      <c r="AE24" s="250"/>
      <c r="AF24" s="250"/>
      <c r="AG24" s="250"/>
      <c r="AH24" s="252" t="s">
        <v>121</v>
      </c>
      <c r="AI24" s="239"/>
      <c r="AJ24" s="240"/>
    </row>
    <row r="25" spans="1:37" ht="15.5" x14ac:dyDescent="0.35">
      <c r="A25" s="311"/>
      <c r="B25" s="245">
        <f t="shared" si="0"/>
        <v>10000</v>
      </c>
      <c r="C25" s="2"/>
      <c r="D25" s="15"/>
      <c r="E25" s="15"/>
      <c r="F25" s="15"/>
      <c r="G25" s="15"/>
      <c r="H25" s="15"/>
      <c r="I25" s="15"/>
      <c r="J25" s="15"/>
      <c r="AI25" s="182" t="s">
        <v>119</v>
      </c>
    </row>
    <row r="26" spans="1:37" x14ac:dyDescent="0.35">
      <c r="A26" s="311"/>
      <c r="B26" s="245">
        <f t="shared" si="0"/>
        <v>10500</v>
      </c>
      <c r="C26" s="2"/>
      <c r="D26" s="15"/>
      <c r="E26" s="15"/>
      <c r="F26" s="15"/>
      <c r="G26" s="15"/>
      <c r="H26" s="15"/>
      <c r="I26" s="15"/>
      <c r="J26" s="15"/>
    </row>
    <row r="27" spans="1:37" ht="15" thickBot="1" x14ac:dyDescent="0.4">
      <c r="A27" s="311"/>
      <c r="B27" s="245">
        <f t="shared" si="0"/>
        <v>11000</v>
      </c>
      <c r="C27" s="233"/>
      <c r="D27" s="234"/>
      <c r="E27" s="234"/>
      <c r="F27" s="234"/>
      <c r="G27" s="234"/>
      <c r="H27" s="234"/>
      <c r="I27" s="234"/>
      <c r="J27" s="234"/>
      <c r="K27" s="234"/>
      <c r="L27" s="234"/>
      <c r="M27" s="234"/>
      <c r="N27" s="234"/>
      <c r="O27" s="234"/>
      <c r="P27" s="234"/>
      <c r="Q27" s="234"/>
      <c r="R27" s="234"/>
      <c r="S27" s="234"/>
      <c r="T27" s="234"/>
      <c r="U27" s="234"/>
      <c r="V27" s="234"/>
      <c r="W27" s="234"/>
      <c r="X27" s="234"/>
      <c r="Y27" s="234"/>
      <c r="Z27" s="234"/>
      <c r="AA27" s="234"/>
      <c r="AB27" s="234"/>
      <c r="AC27" s="234"/>
      <c r="AD27" s="234"/>
      <c r="AE27" s="234"/>
      <c r="AF27" s="234"/>
      <c r="AG27" s="234"/>
      <c r="AH27" s="234"/>
      <c r="AI27" s="234"/>
      <c r="AJ27" s="234"/>
      <c r="AK27" s="234"/>
    </row>
    <row r="28" spans="1:37" ht="15" thickTop="1" x14ac:dyDescent="0.35">
      <c r="C28" s="310">
        <v>8.5</v>
      </c>
      <c r="D28" s="310"/>
      <c r="E28" s="310">
        <f>C28+0.5</f>
        <v>9</v>
      </c>
      <c r="F28" s="310"/>
      <c r="G28" s="310">
        <f>E28+0.5</f>
        <v>9.5</v>
      </c>
      <c r="H28" s="310"/>
      <c r="I28" s="310">
        <f>G28+0.5</f>
        <v>10</v>
      </c>
      <c r="J28" s="310"/>
      <c r="K28" s="310">
        <f>I28+0.5</f>
        <v>10.5</v>
      </c>
      <c r="L28" s="310"/>
      <c r="M28" s="310">
        <f>K28+0.5</f>
        <v>11</v>
      </c>
      <c r="N28" s="310"/>
      <c r="O28" s="310">
        <f>M28+0.5</f>
        <v>11.5</v>
      </c>
      <c r="P28" s="310"/>
      <c r="Q28" s="310">
        <f>O28+0.5</f>
        <v>12</v>
      </c>
      <c r="R28" s="310"/>
      <c r="S28" s="310">
        <f>Q28+0.5</f>
        <v>12.5</v>
      </c>
      <c r="T28" s="310"/>
      <c r="U28" s="310">
        <f>S28+0.5</f>
        <v>13</v>
      </c>
      <c r="V28" s="310"/>
      <c r="W28" s="310">
        <f>U28+0.5</f>
        <v>13.5</v>
      </c>
      <c r="X28" s="310"/>
      <c r="Y28" s="235">
        <f>W28+0.5</f>
        <v>14</v>
      </c>
      <c r="Z28" s="235"/>
      <c r="AA28" s="310">
        <f>Y28+0.5</f>
        <v>14.5</v>
      </c>
      <c r="AB28" s="310"/>
      <c r="AC28" s="310">
        <f>AA28+0.5</f>
        <v>15</v>
      </c>
      <c r="AD28" s="310"/>
      <c r="AE28" s="310">
        <f>AC28+0.5</f>
        <v>15.5</v>
      </c>
      <c r="AF28" s="310"/>
      <c r="AG28" s="310">
        <f>AE28+0.5</f>
        <v>16</v>
      </c>
      <c r="AH28" s="310"/>
      <c r="AI28" s="310">
        <f>AG28+0.5</f>
        <v>16.5</v>
      </c>
      <c r="AJ28" s="310"/>
      <c r="AK28" s="248"/>
    </row>
    <row r="29" spans="1:37" ht="18.5" x14ac:dyDescent="0.45">
      <c r="O29" s="246" t="s">
        <v>116</v>
      </c>
      <c r="P29" s="246"/>
      <c r="Q29" s="246"/>
      <c r="R29" s="246"/>
      <c r="S29" s="246"/>
      <c r="T29" s="246"/>
      <c r="U29" s="246"/>
      <c r="V29" s="246"/>
    </row>
  </sheetData>
  <mergeCells count="17">
    <mergeCell ref="M28:N28"/>
    <mergeCell ref="A5:A27"/>
    <mergeCell ref="C28:D28"/>
    <mergeCell ref="E28:F28"/>
    <mergeCell ref="G28:H28"/>
    <mergeCell ref="I28:J28"/>
    <mergeCell ref="K28:L28"/>
    <mergeCell ref="O28:P28"/>
    <mergeCell ref="Q28:R28"/>
    <mergeCell ref="S28:T28"/>
    <mergeCell ref="U28:V28"/>
    <mergeCell ref="W28:X28"/>
    <mergeCell ref="AC28:AD28"/>
    <mergeCell ref="AE28:AF28"/>
    <mergeCell ref="AG28:AH28"/>
    <mergeCell ref="AI28:AJ28"/>
    <mergeCell ref="AA28:AB28"/>
  </mergeCells>
  <pageMargins left="0.7" right="0.7" top="0.75" bottom="0.75" header="0.3" footer="0.3"/>
  <pageSetup paperSize="9" orientation="portrait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C7:U31"/>
  <sheetViews>
    <sheetView showGridLines="0" zoomScale="69" zoomScaleNormal="69" workbookViewId="0">
      <selection activeCell="X12" sqref="X11:X12"/>
    </sheetView>
  </sheetViews>
  <sheetFormatPr defaultRowHeight="14.5" x14ac:dyDescent="0.35"/>
  <cols>
    <col min="4" max="4" width="3.1796875" customWidth="1"/>
    <col min="5" max="6" width="4.26953125" customWidth="1"/>
    <col min="7" max="7" width="3.1796875" customWidth="1"/>
    <col min="8" max="8" width="13" customWidth="1"/>
    <col min="10" max="10" width="3.1796875" customWidth="1"/>
    <col min="11" max="12" width="4.26953125" customWidth="1"/>
    <col min="13" max="13" width="3.1796875" customWidth="1"/>
    <col min="17" max="17" width="3.1796875" customWidth="1"/>
    <col min="18" max="19" width="4.26953125" customWidth="1"/>
    <col min="20" max="20" width="3.1796875" customWidth="1"/>
  </cols>
  <sheetData>
    <row r="7" spans="3:21" ht="15" thickBot="1" x14ac:dyDescent="0.4"/>
    <row r="8" spans="3:21" ht="15" thickBot="1" x14ac:dyDescent="0.4">
      <c r="E8" s="259"/>
      <c r="F8" s="259"/>
      <c r="K8" s="259"/>
      <c r="L8" s="259"/>
      <c r="R8" s="259"/>
      <c r="S8" s="259"/>
    </row>
    <row r="9" spans="3:21" x14ac:dyDescent="0.35">
      <c r="E9" s="205"/>
      <c r="F9" s="211"/>
      <c r="K9" s="205"/>
      <c r="L9" s="211"/>
      <c r="R9" s="205"/>
      <c r="S9" s="211"/>
    </row>
    <row r="10" spans="3:21" x14ac:dyDescent="0.35">
      <c r="D10" s="1"/>
      <c r="E10" s="171"/>
      <c r="F10" s="171"/>
      <c r="G10" s="2"/>
      <c r="J10" s="1"/>
      <c r="K10" s="171"/>
      <c r="L10" s="171"/>
      <c r="M10" s="2"/>
      <c r="Q10" s="1"/>
      <c r="R10" s="171"/>
      <c r="S10" s="171"/>
      <c r="T10" s="2"/>
    </row>
    <row r="11" spans="3:21" x14ac:dyDescent="0.35">
      <c r="D11" s="1"/>
      <c r="E11" s="171"/>
      <c r="F11" s="171"/>
      <c r="G11" s="2"/>
      <c r="J11" s="1"/>
      <c r="K11" s="171"/>
      <c r="L11" s="171"/>
      <c r="M11" s="2"/>
      <c r="Q11" s="1"/>
      <c r="R11" s="171"/>
      <c r="S11" s="171"/>
      <c r="T11" s="2"/>
    </row>
    <row r="12" spans="3:21" x14ac:dyDescent="0.35">
      <c r="D12" s="1"/>
      <c r="E12" s="171"/>
      <c r="F12" s="171"/>
      <c r="G12" s="2"/>
      <c r="J12" s="1"/>
      <c r="K12" s="171"/>
      <c r="L12" s="171"/>
      <c r="M12" s="2"/>
      <c r="Q12" s="1"/>
      <c r="R12" s="171"/>
      <c r="S12" s="171"/>
      <c r="T12" s="2"/>
    </row>
    <row r="13" spans="3:21" x14ac:dyDescent="0.35">
      <c r="D13" s="1"/>
      <c r="E13" s="171"/>
      <c r="F13" s="171"/>
      <c r="G13" s="2"/>
      <c r="J13" s="1"/>
      <c r="K13" s="171"/>
      <c r="L13" s="171"/>
      <c r="M13" s="2"/>
      <c r="Q13" s="1"/>
      <c r="R13" s="171"/>
      <c r="S13" s="171"/>
      <c r="T13" s="2"/>
    </row>
    <row r="14" spans="3:21" ht="16" thickBot="1" x14ac:dyDescent="0.4">
      <c r="C14" t="s">
        <v>134</v>
      </c>
      <c r="D14" s="236"/>
      <c r="E14" s="171"/>
      <c r="F14" s="171"/>
      <c r="G14" s="233"/>
      <c r="H14" s="182" t="s">
        <v>120</v>
      </c>
      <c r="J14" s="236"/>
      <c r="K14" s="171"/>
      <c r="L14" s="171"/>
      <c r="M14" s="233"/>
      <c r="N14" s="182" t="s">
        <v>120</v>
      </c>
      <c r="Q14" s="236"/>
      <c r="R14" s="171"/>
      <c r="S14" s="171"/>
      <c r="T14" s="233"/>
      <c r="U14" s="182" t="s">
        <v>120</v>
      </c>
    </row>
    <row r="15" spans="3:21" ht="15" thickTop="1" x14ac:dyDescent="0.35">
      <c r="E15" s="237"/>
      <c r="F15" s="238"/>
      <c r="G15" t="s">
        <v>127</v>
      </c>
      <c r="K15" s="255"/>
      <c r="L15" s="256"/>
      <c r="R15" s="255"/>
      <c r="S15" s="256"/>
    </row>
    <row r="16" spans="3:21" x14ac:dyDescent="0.35">
      <c r="E16" s="237"/>
      <c r="F16" s="238"/>
      <c r="G16" t="s">
        <v>131</v>
      </c>
      <c r="K16" s="255"/>
      <c r="L16" s="256"/>
      <c r="R16" s="255"/>
      <c r="S16" s="256"/>
    </row>
    <row r="17" spans="3:20" ht="18.5" x14ac:dyDescent="0.45">
      <c r="E17" s="237"/>
      <c r="F17" s="238"/>
      <c r="K17" s="255"/>
      <c r="L17" s="256"/>
      <c r="M17" s="260" t="s">
        <v>125</v>
      </c>
      <c r="R17" s="255"/>
      <c r="S17" s="256"/>
      <c r="T17" s="260" t="s">
        <v>125</v>
      </c>
    </row>
    <row r="18" spans="3:20" x14ac:dyDescent="0.35">
      <c r="E18" s="237"/>
      <c r="F18" s="238"/>
      <c r="G18" t="s">
        <v>133</v>
      </c>
      <c r="K18" s="255"/>
      <c r="L18" s="256"/>
      <c r="R18" s="255"/>
      <c r="S18" s="256"/>
    </row>
    <row r="19" spans="3:20" x14ac:dyDescent="0.35">
      <c r="E19" s="237"/>
      <c r="F19" s="238"/>
      <c r="K19" s="255"/>
      <c r="L19" s="256"/>
      <c r="R19" s="255"/>
      <c r="S19" s="256"/>
    </row>
    <row r="20" spans="3:20" x14ac:dyDescent="0.35">
      <c r="E20" s="237"/>
      <c r="F20" s="238"/>
      <c r="K20" s="255"/>
      <c r="L20" s="256"/>
      <c r="R20" s="255"/>
      <c r="S20" s="256"/>
    </row>
    <row r="21" spans="3:20" x14ac:dyDescent="0.35">
      <c r="E21" s="237"/>
      <c r="F21" s="238"/>
      <c r="G21" t="s">
        <v>129</v>
      </c>
      <c r="K21" s="255"/>
      <c r="L21" s="256"/>
      <c r="R21" s="255"/>
      <c r="S21" s="256"/>
    </row>
    <row r="22" spans="3:20" x14ac:dyDescent="0.35">
      <c r="E22" s="237"/>
      <c r="F22" s="238"/>
      <c r="G22" t="s">
        <v>130</v>
      </c>
      <c r="K22" s="255"/>
      <c r="L22" s="256"/>
      <c r="R22" s="255"/>
      <c r="S22" s="256"/>
    </row>
    <row r="23" spans="3:20" x14ac:dyDescent="0.35">
      <c r="E23" s="237"/>
      <c r="F23" s="238"/>
      <c r="K23" s="237"/>
      <c r="L23" s="238"/>
      <c r="R23" s="237"/>
      <c r="S23" s="238"/>
    </row>
    <row r="24" spans="3:20" x14ac:dyDescent="0.35">
      <c r="E24" s="237"/>
      <c r="F24" s="238"/>
      <c r="K24" s="237"/>
      <c r="L24" s="238"/>
      <c r="R24" s="237"/>
      <c r="S24" s="238"/>
    </row>
    <row r="25" spans="3:20" x14ac:dyDescent="0.35">
      <c r="E25" s="255"/>
      <c r="F25" s="256"/>
      <c r="K25" s="237"/>
      <c r="L25" s="238"/>
      <c r="R25" s="237"/>
      <c r="S25" s="238"/>
    </row>
    <row r="26" spans="3:20" x14ac:dyDescent="0.35">
      <c r="E26" s="255"/>
      <c r="F26" s="256"/>
      <c r="G26" t="s">
        <v>128</v>
      </c>
      <c r="K26" s="237"/>
      <c r="L26" s="238"/>
      <c r="R26" s="237"/>
      <c r="S26" s="238"/>
    </row>
    <row r="27" spans="3:20" ht="18.5" x14ac:dyDescent="0.45">
      <c r="E27" s="255"/>
      <c r="F27" s="256"/>
      <c r="G27" s="260" t="s">
        <v>124</v>
      </c>
      <c r="K27" s="237"/>
      <c r="L27" s="238"/>
      <c r="R27" s="237"/>
      <c r="S27" s="238"/>
    </row>
    <row r="28" spans="3:20" x14ac:dyDescent="0.35">
      <c r="E28" s="255"/>
      <c r="F28" s="256"/>
      <c r="K28" s="237"/>
      <c r="L28" s="238"/>
      <c r="R28" s="237"/>
      <c r="S28" s="238"/>
    </row>
    <row r="29" spans="3:20" x14ac:dyDescent="0.35">
      <c r="E29" s="255"/>
      <c r="F29" s="256"/>
      <c r="K29" s="237"/>
      <c r="L29" s="238"/>
      <c r="R29" s="237"/>
      <c r="S29" s="238"/>
    </row>
    <row r="30" spans="3:20" x14ac:dyDescent="0.35">
      <c r="C30" t="s">
        <v>135</v>
      </c>
      <c r="E30" s="257"/>
      <c r="F30" s="258"/>
      <c r="G30" t="s">
        <v>126</v>
      </c>
      <c r="K30" s="239"/>
      <c r="L30" s="240"/>
      <c r="R30" s="239"/>
      <c r="S30" s="240"/>
    </row>
    <row r="31" spans="3:20" ht="15.5" x14ac:dyDescent="0.35">
      <c r="E31" s="182"/>
      <c r="G31" t="s">
        <v>132</v>
      </c>
      <c r="K31" s="182"/>
      <c r="R31" s="18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Conductor</vt:lpstr>
      <vt:lpstr>Conductor-1</vt:lpstr>
      <vt:lpstr>P n A</vt:lpstr>
      <vt:lpstr>P n A-1</vt:lpstr>
      <vt:lpstr>P n A-2</vt:lpstr>
      <vt:lpstr>P n A-3</vt:lpstr>
      <vt:lpstr>Wrong Csg Tally</vt:lpstr>
      <vt:lpstr>Casing Lenght</vt:lpstr>
      <vt:lpstr>Casing P Test</vt:lpstr>
      <vt:lpstr>Burst Load-1</vt:lpstr>
      <vt:lpstr>Collapse Load</vt:lpstr>
      <vt:lpstr>Axial Load</vt:lpstr>
      <vt:lpstr>Casing Depth</vt:lpstr>
      <vt:lpstr>KTOL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Yudi Hartono</dc:creator>
  <cp:lastModifiedBy>HP GEO DIPA</cp:lastModifiedBy>
  <dcterms:created xsi:type="dcterms:W3CDTF">2019-06-15T10:12:49Z</dcterms:created>
  <dcterms:modified xsi:type="dcterms:W3CDTF">2021-11-16T13:40:59Z</dcterms:modified>
</cp:coreProperties>
</file>