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<sst xmlns="http://schemas.openxmlformats.org/spreadsheetml/2006/main" count="41" uniqueCount="36">
  <si>
    <t>CALCULATION</t>
  </si>
  <si>
    <t>Section</t>
  </si>
  <si>
    <t>Do (in)</t>
  </si>
  <si>
    <t>Di (in)</t>
  </si>
  <si>
    <t>H (ft)</t>
  </si>
  <si>
    <t>Cement Volume (Bbls)</t>
  </si>
  <si>
    <t>Excess (%)</t>
  </si>
  <si>
    <t>Excess Cement Volume(Bbls)</t>
  </si>
  <si>
    <t xml:space="preserve">Total Section Cement Volume (Bbls) </t>
  </si>
  <si>
    <t>Legend</t>
  </si>
  <si>
    <t>Do</t>
  </si>
  <si>
    <t>Outer Diameter (in)</t>
  </si>
  <si>
    <t>Di</t>
  </si>
  <si>
    <t>Inner Diameter (in)</t>
  </si>
  <si>
    <t>H</t>
  </si>
  <si>
    <t>Height (ft)</t>
  </si>
  <si>
    <t>Total Cemen Slurry</t>
  </si>
  <si>
    <t>Bbls</t>
  </si>
  <si>
    <t>Cement Pumping Rate</t>
  </si>
  <si>
    <t>BPM (Bbls/Minute)</t>
  </si>
  <si>
    <t>Cement Pumping Time</t>
  </si>
  <si>
    <t>Minutes</t>
  </si>
  <si>
    <t>Total Displacement Volume</t>
  </si>
  <si>
    <t>H total (ft)</t>
  </si>
  <si>
    <t>Shoe track H (ft)</t>
  </si>
  <si>
    <t>Volume</t>
  </si>
  <si>
    <t>Displacement Pumping Rate</t>
  </si>
  <si>
    <t>Displacement Time</t>
  </si>
  <si>
    <t>Safety Factor</t>
  </si>
  <si>
    <t xml:space="preserve">Minutes </t>
  </si>
  <si>
    <t>Thickening Time Req (Minutes)</t>
  </si>
  <si>
    <t>Thickening Time Req (Hour)</t>
  </si>
  <si>
    <t>Hour</t>
  </si>
  <si>
    <t>Required</t>
  </si>
  <si>
    <t>Depend on Company Standard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</si>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</sst>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&quot;: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2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right" readingOrder="0"/>
    </xf>
    <xf borderId="4" fillId="0" fontId="1" numFmtId="164" xfId="0" applyAlignment="1" applyBorder="1" applyFont="1" applyNumberFormat="1">
      <alignment horizontal="right"/>
    </xf>
    <xf borderId="4" fillId="0" fontId="1" numFmtId="0" xfId="0" applyAlignment="1" applyBorder="1" applyFont="1">
      <alignment readingOrder="0"/>
    </xf>
    <xf borderId="4" fillId="2" fontId="1" numFmtId="0" xfId="0" applyAlignment="1" applyBorder="1" applyFont="1">
      <alignment horizontal="right"/>
    </xf>
    <xf borderId="4" fillId="2" fontId="1" numFmtId="0" xfId="0" applyAlignment="1" applyBorder="1" applyFont="1">
      <alignment horizontal="right"/>
    </xf>
    <xf borderId="1" fillId="3" fontId="1" numFmtId="0" xfId="0" applyAlignment="1" applyBorder="1" applyFill="1" applyFont="1">
      <alignment readingOrder="0"/>
    </xf>
    <xf borderId="4" fillId="0" fontId="1" numFmtId="164" xfId="0" applyBorder="1" applyFont="1" applyNumberFormat="1"/>
    <xf borderId="0" fillId="0" fontId="1" numFmtId="0" xfId="0" applyAlignment="1" applyFont="1">
      <alignment readingOrder="0"/>
    </xf>
    <xf borderId="4" fillId="4" fontId="1" numFmtId="164" xfId="0" applyAlignment="1" applyBorder="1" applyFill="1" applyFont="1" applyNumberFormat="1">
      <alignment readingOrder="0"/>
    </xf>
    <xf borderId="4" fillId="5" fontId="1" numFmtId="2" xfId="0" applyBorder="1" applyFill="1" applyFont="1" applyNumberFormat="1"/>
    <xf borderId="4" fillId="0" fontId="1" numFmtId="0" xfId="0" applyAlignment="1" applyBorder="1" applyFont="1">
      <alignment horizontal="left" readingOrder="0" vertical="center"/>
    </xf>
    <xf borderId="4" fillId="6" fontId="1" numFmtId="0" xfId="0" applyAlignment="1" applyBorder="1" applyFill="1" applyFont="1">
      <alignment horizontal="left" readingOrder="0" vertical="center"/>
    </xf>
    <xf borderId="4" fillId="2" fontId="1" numFmtId="0" xfId="0" applyAlignment="1" applyBorder="1" applyFont="1">
      <alignment readingOrder="0"/>
    </xf>
    <xf borderId="4" fillId="0" fontId="1" numFmtId="2" xfId="0" applyBorder="1" applyFont="1" applyNumberFormat="1"/>
    <xf borderId="4" fillId="4" fontId="1" numFmtId="0" xfId="0" applyAlignment="1" applyBorder="1" applyFont="1">
      <alignment readingOrder="0"/>
    </xf>
    <xf borderId="4" fillId="5" fontId="1" numFmtId="165" xfId="0" applyAlignment="1" applyBorder="1" applyFont="1" applyNumberFormat="1">
      <alignment horizontal="right"/>
    </xf>
    <xf borderId="4" fillId="2" fontId="1" numFmtId="0" xfId="0" applyBorder="1" applyFont="1"/>
    <xf borderId="4" fillId="4" fontId="1" numFmtId="0" xfId="0" applyBorder="1" applyFont="1"/>
    <xf borderId="4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1</xdr:row>
      <xdr:rowOff>171450</xdr:rowOff>
    </xdr:from>
    <xdr:ext cx="1885950" cy="33432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  <col customWidth="1" min="6" max="6" width="3.75"/>
    <col customWidth="1" min="7" max="7" width="8.13"/>
    <col customWidth="1" min="8" max="8" width="7.38"/>
    <col customWidth="1" min="9" max="9" width="8.5"/>
    <col customWidth="1" min="10" max="10" width="7.75"/>
    <col customWidth="1" min="11" max="11" width="18.0"/>
    <col customWidth="1" min="12" max="12" width="10.75"/>
    <col customWidth="1" min="13" max="13" width="13.38"/>
    <col customWidth="1" min="14" max="14" width="17.13"/>
    <col customWidth="1" min="15" max="15" width="16.0"/>
  </cols>
  <sheetData>
    <row r="4">
      <c r="G4" s="1" t="s">
        <v>0</v>
      </c>
      <c r="H4" s="2"/>
      <c r="I4" s="2"/>
      <c r="J4" s="2"/>
      <c r="K4" s="2"/>
      <c r="L4" s="2"/>
      <c r="M4" s="2"/>
      <c r="N4" s="3"/>
    </row>
    <row r="5">
      <c r="G5" s="4" t="s">
        <v>1</v>
      </c>
      <c r="H5" s="4" t="s">
        <v>2</v>
      </c>
      <c r="I5" s="4" t="s">
        <v>3</v>
      </c>
      <c r="J5" s="4" t="s">
        <v>4</v>
      </c>
      <c r="K5" s="5" t="s">
        <v>5</v>
      </c>
      <c r="L5" s="4" t="s">
        <v>6</v>
      </c>
      <c r="M5" s="4" t="s">
        <v>7</v>
      </c>
      <c r="N5" s="4" t="s">
        <v>8</v>
      </c>
    </row>
    <row r="6">
      <c r="D6" s="1" t="s">
        <v>9</v>
      </c>
      <c r="E6" s="3"/>
      <c r="G6" s="6">
        <v>1.0</v>
      </c>
      <c r="H6" s="7">
        <v>12.415</v>
      </c>
      <c r="I6" s="7">
        <v>9.625</v>
      </c>
      <c r="J6" s="7">
        <v>3000.0</v>
      </c>
      <c r="K6" s="8">
        <f t="shared" ref="K6:K15" si="1">(((H6*H6)-(I6*I6))/1029.4)*J6</f>
        <v>179.2061395</v>
      </c>
      <c r="L6" s="7">
        <v>0.0</v>
      </c>
      <c r="M6" s="8">
        <f t="shared" ref="M6:M15" si="2">K6*(L6/100)</f>
        <v>0</v>
      </c>
      <c r="N6" s="8">
        <f t="shared" ref="N6:N15" si="3">K6+M6</f>
        <v>179.2061395</v>
      </c>
    </row>
    <row r="7">
      <c r="D7" s="9" t="s">
        <v>10</v>
      </c>
      <c r="E7" s="9" t="s">
        <v>11</v>
      </c>
      <c r="G7" s="6">
        <v>2.0</v>
      </c>
      <c r="H7" s="7">
        <v>12.25</v>
      </c>
      <c r="I7" s="7">
        <v>9.625</v>
      </c>
      <c r="J7" s="7">
        <v>4000.0</v>
      </c>
      <c r="K7" s="8">
        <f t="shared" si="1"/>
        <v>223.12755</v>
      </c>
      <c r="L7" s="7">
        <v>30.0</v>
      </c>
      <c r="M7" s="8">
        <f t="shared" si="2"/>
        <v>66.93826501</v>
      </c>
      <c r="N7" s="8">
        <f t="shared" si="3"/>
        <v>290.065815</v>
      </c>
    </row>
    <row r="8">
      <c r="D8" s="9" t="s">
        <v>12</v>
      </c>
      <c r="E8" s="9" t="s">
        <v>13</v>
      </c>
      <c r="G8" s="6">
        <v>3.0</v>
      </c>
      <c r="H8" s="7">
        <v>8.681</v>
      </c>
      <c r="I8" s="7">
        <v>0.0</v>
      </c>
      <c r="J8" s="7">
        <v>80.0</v>
      </c>
      <c r="K8" s="8">
        <f t="shared" si="1"/>
        <v>5.85659693</v>
      </c>
      <c r="L8" s="7">
        <v>0.0</v>
      </c>
      <c r="M8" s="8">
        <f t="shared" si="2"/>
        <v>0</v>
      </c>
      <c r="N8" s="8">
        <f t="shared" si="3"/>
        <v>5.85659693</v>
      </c>
    </row>
    <row r="9">
      <c r="D9" s="9" t="s">
        <v>14</v>
      </c>
      <c r="E9" s="9" t="s">
        <v>15</v>
      </c>
      <c r="G9" s="6">
        <v>4.0</v>
      </c>
      <c r="H9" s="7"/>
      <c r="I9" s="7"/>
      <c r="J9" s="7"/>
      <c r="K9" s="8">
        <f t="shared" si="1"/>
        <v>0</v>
      </c>
      <c r="L9" s="10"/>
      <c r="M9" s="8">
        <f t="shared" si="2"/>
        <v>0</v>
      </c>
      <c r="N9" s="8">
        <f t="shared" si="3"/>
        <v>0</v>
      </c>
    </row>
    <row r="10">
      <c r="G10" s="6">
        <v>5.0</v>
      </c>
      <c r="H10" s="7"/>
      <c r="I10" s="7"/>
      <c r="J10" s="7"/>
      <c r="K10" s="8">
        <f t="shared" si="1"/>
        <v>0</v>
      </c>
      <c r="L10" s="10"/>
      <c r="M10" s="8">
        <f t="shared" si="2"/>
        <v>0</v>
      </c>
      <c r="N10" s="8">
        <f t="shared" si="3"/>
        <v>0</v>
      </c>
    </row>
    <row r="11">
      <c r="G11" s="6">
        <v>6.0</v>
      </c>
      <c r="H11" s="11"/>
      <c r="I11" s="10"/>
      <c r="J11" s="10"/>
      <c r="K11" s="8">
        <f t="shared" si="1"/>
        <v>0</v>
      </c>
      <c r="L11" s="10"/>
      <c r="M11" s="8">
        <f t="shared" si="2"/>
        <v>0</v>
      </c>
      <c r="N11" s="8">
        <f t="shared" si="3"/>
        <v>0</v>
      </c>
    </row>
    <row r="12">
      <c r="G12" s="6">
        <v>7.0</v>
      </c>
      <c r="H12" s="11"/>
      <c r="I12" s="10"/>
      <c r="J12" s="10"/>
      <c r="K12" s="8">
        <f t="shared" si="1"/>
        <v>0</v>
      </c>
      <c r="L12" s="10"/>
      <c r="M12" s="8">
        <f t="shared" si="2"/>
        <v>0</v>
      </c>
      <c r="N12" s="8">
        <f t="shared" si="3"/>
        <v>0</v>
      </c>
    </row>
    <row r="13">
      <c r="G13" s="6">
        <v>8.0</v>
      </c>
      <c r="H13" s="11"/>
      <c r="I13" s="10"/>
      <c r="J13" s="10"/>
      <c r="K13" s="8">
        <f t="shared" si="1"/>
        <v>0</v>
      </c>
      <c r="L13" s="10"/>
      <c r="M13" s="8">
        <f t="shared" si="2"/>
        <v>0</v>
      </c>
      <c r="N13" s="8">
        <f t="shared" si="3"/>
        <v>0</v>
      </c>
    </row>
    <row r="14">
      <c r="G14" s="6">
        <v>9.0</v>
      </c>
      <c r="H14" s="11"/>
      <c r="I14" s="10"/>
      <c r="J14" s="10"/>
      <c r="K14" s="8">
        <f t="shared" si="1"/>
        <v>0</v>
      </c>
      <c r="L14" s="10"/>
      <c r="M14" s="8">
        <f t="shared" si="2"/>
        <v>0</v>
      </c>
      <c r="N14" s="8">
        <f t="shared" si="3"/>
        <v>0</v>
      </c>
    </row>
    <row r="15">
      <c r="G15" s="6">
        <v>10.0</v>
      </c>
      <c r="H15" s="11"/>
      <c r="I15" s="10"/>
      <c r="J15" s="10"/>
      <c r="K15" s="8">
        <f t="shared" si="1"/>
        <v>0</v>
      </c>
      <c r="L15" s="10"/>
      <c r="M15" s="8">
        <f t="shared" si="2"/>
        <v>0</v>
      </c>
      <c r="N15" s="8">
        <f t="shared" si="3"/>
        <v>0</v>
      </c>
    </row>
    <row r="16">
      <c r="G16" s="12"/>
      <c r="H16" s="2"/>
      <c r="I16" s="2"/>
      <c r="J16" s="2"/>
      <c r="K16" s="2"/>
      <c r="L16" s="2"/>
      <c r="M16" s="2"/>
      <c r="N16" s="3"/>
    </row>
    <row r="17">
      <c r="G17" s="1" t="s">
        <v>16</v>
      </c>
      <c r="H17" s="2"/>
      <c r="I17" s="2"/>
      <c r="J17" s="2"/>
      <c r="K17" s="2"/>
      <c r="L17" s="2"/>
      <c r="M17" s="3"/>
      <c r="N17" s="13">
        <f>sum(N6:N15)</f>
        <v>475.1285515</v>
      </c>
      <c r="O17" s="14" t="s">
        <v>17</v>
      </c>
    </row>
    <row r="18">
      <c r="G18" s="1" t="s">
        <v>18</v>
      </c>
      <c r="H18" s="2"/>
      <c r="I18" s="2"/>
      <c r="J18" s="2"/>
      <c r="K18" s="2"/>
      <c r="L18" s="2"/>
      <c r="M18" s="3"/>
      <c r="N18" s="15">
        <v>4.0</v>
      </c>
      <c r="O18" s="14" t="s">
        <v>19</v>
      </c>
    </row>
    <row r="19">
      <c r="G19" s="1" t="s">
        <v>20</v>
      </c>
      <c r="H19" s="2"/>
      <c r="I19" s="2"/>
      <c r="J19" s="2"/>
      <c r="K19" s="2"/>
      <c r="L19" s="2"/>
      <c r="M19" s="3"/>
      <c r="N19" s="16">
        <f>N17/N18</f>
        <v>118.7821379</v>
      </c>
      <c r="O19" s="14" t="s">
        <v>21</v>
      </c>
    </row>
    <row r="20">
      <c r="G20" s="1" t="s">
        <v>22</v>
      </c>
      <c r="H20" s="2"/>
      <c r="I20" s="2"/>
      <c r="J20" s="3"/>
      <c r="K20" s="17" t="s">
        <v>3</v>
      </c>
      <c r="L20" s="17" t="s">
        <v>23</v>
      </c>
      <c r="M20" s="17" t="s">
        <v>24</v>
      </c>
      <c r="N20" s="18" t="s">
        <v>25</v>
      </c>
    </row>
    <row r="21">
      <c r="G21" s="1"/>
      <c r="H21" s="2"/>
      <c r="I21" s="2"/>
      <c r="J21" s="3"/>
      <c r="K21" s="19">
        <v>8.681</v>
      </c>
      <c r="L21" s="19">
        <v>7000.0</v>
      </c>
      <c r="M21" s="19">
        <v>80.0</v>
      </c>
      <c r="N21" s="20">
        <f>((K21*K21)/1029.4)*(L21-M21)</f>
        <v>506.5956345</v>
      </c>
      <c r="O21" s="14" t="s">
        <v>17</v>
      </c>
    </row>
    <row r="22">
      <c r="G22" s="1" t="s">
        <v>26</v>
      </c>
      <c r="H22" s="2"/>
      <c r="I22" s="2"/>
      <c r="J22" s="2"/>
      <c r="K22" s="2"/>
      <c r="L22" s="2"/>
      <c r="M22" s="3"/>
      <c r="N22" s="15">
        <v>4.0</v>
      </c>
      <c r="O22" s="14" t="s">
        <v>19</v>
      </c>
    </row>
    <row r="23">
      <c r="G23" s="1" t="s">
        <v>27</v>
      </c>
      <c r="H23" s="2"/>
      <c r="I23" s="2"/>
      <c r="J23" s="2"/>
      <c r="K23" s="2"/>
      <c r="L23" s="2"/>
      <c r="M23" s="3"/>
      <c r="N23" s="16">
        <f>N21/N22</f>
        <v>126.6489086</v>
      </c>
      <c r="O23" s="14" t="s">
        <v>21</v>
      </c>
    </row>
    <row r="24">
      <c r="G24" s="1" t="s">
        <v>28</v>
      </c>
      <c r="H24" s="2"/>
      <c r="I24" s="2"/>
      <c r="J24" s="2"/>
      <c r="K24" s="2"/>
      <c r="L24" s="2"/>
      <c r="M24" s="3"/>
      <c r="N24" s="21">
        <v>90.0</v>
      </c>
      <c r="O24" s="14" t="s">
        <v>29</v>
      </c>
    </row>
    <row r="25">
      <c r="G25" s="1" t="s">
        <v>30</v>
      </c>
      <c r="H25" s="2"/>
      <c r="I25" s="2"/>
      <c r="J25" s="2"/>
      <c r="K25" s="2"/>
      <c r="L25" s="2"/>
      <c r="M25" s="3"/>
      <c r="N25" s="16">
        <f>N19+N23+N24</f>
        <v>335.4310465</v>
      </c>
      <c r="O25" s="14" t="s">
        <v>21</v>
      </c>
    </row>
    <row r="26">
      <c r="G26" s="1" t="s">
        <v>31</v>
      </c>
      <c r="H26" s="2"/>
      <c r="I26" s="2"/>
      <c r="J26" s="2"/>
      <c r="K26" s="2"/>
      <c r="L26" s="2"/>
      <c r="M26" s="3"/>
      <c r="N26" s="22" t="str">
        <f>text(N25/24/60,"hh:mm")</f>
        <v>05:35</v>
      </c>
      <c r="O26" s="14" t="s">
        <v>32</v>
      </c>
    </row>
    <row r="28">
      <c r="G28" s="23"/>
      <c r="H28" s="1" t="s">
        <v>33</v>
      </c>
      <c r="I28" s="2"/>
      <c r="J28" s="3"/>
    </row>
    <row r="29">
      <c r="G29" s="24"/>
      <c r="H29" s="1" t="s">
        <v>34</v>
      </c>
      <c r="I29" s="2"/>
      <c r="J29" s="3"/>
    </row>
    <row r="30">
      <c r="G30" s="25"/>
      <c r="H30" s="1" t="s">
        <v>35</v>
      </c>
      <c r="I30" s="2"/>
      <c r="J30" s="3"/>
    </row>
  </sheetData>
  <mergeCells count="16">
    <mergeCell ref="G4:N4"/>
    <mergeCell ref="D6:E6"/>
    <mergeCell ref="G19:M19"/>
    <mergeCell ref="G22:M22"/>
    <mergeCell ref="G20:J20"/>
    <mergeCell ref="G21:J21"/>
    <mergeCell ref="H28:J28"/>
    <mergeCell ref="H29:J29"/>
    <mergeCell ref="H30:J30"/>
    <mergeCell ref="G16:N16"/>
    <mergeCell ref="G17:M17"/>
    <mergeCell ref="G18:M18"/>
    <mergeCell ref="G23:M23"/>
    <mergeCell ref="G24:M24"/>
    <mergeCell ref="G25:M25"/>
    <mergeCell ref="G26:M26"/>
  </mergeCells>
  <drawing r:id="rId1"/>
</worksheet>
</file>