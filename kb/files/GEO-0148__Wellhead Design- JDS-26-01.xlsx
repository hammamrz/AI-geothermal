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inar\10-Casing Design\Contoh Soal\Contoh Soal 2026\"/>
    </mc:Choice>
  </mc:AlternateContent>
  <xr:revisionPtr revIDLastSave="0" documentId="13_ncr:1_{676D1E40-F12F-49BF-A378-46F5494C2AAA}" xr6:coauthVersionLast="47" xr6:coauthVersionMax="47" xr10:uidLastSave="{00000000-0000-0000-0000-000000000000}"/>
  <bookViews>
    <workbookView xWindow="-110" yWindow="-110" windowWidth="19420" windowHeight="10300" firstSheet="1" activeTab="4" xr2:uid="{46771BF9-7850-4D34-AD44-B56DB8511727}"/>
  </bookViews>
  <sheets>
    <sheet name="Casing Schematic" sheetId="6" r:id="rId1"/>
    <sheet name="30 conductor" sheetId="4" r:id="rId2"/>
    <sheet name="20 casing" sheetId="2" r:id="rId3"/>
    <sheet name="13-38 casing" sheetId="1" r:id="rId4"/>
    <sheet name="9-58 casing " sheetId="3" r:id="rId5"/>
    <sheet name="wellhead Requiremen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6" l="1"/>
  <c r="Y12" i="6"/>
  <c r="V15" i="6"/>
  <c r="W15" i="6" s="1"/>
  <c r="V13" i="6"/>
  <c r="V12" i="6"/>
  <c r="V14" i="6"/>
  <c r="V7" i="6"/>
  <c r="V9" i="6" s="1"/>
  <c r="W9" i="6" s="1"/>
  <c r="V8" i="6"/>
  <c r="Y15" i="6" l="1"/>
  <c r="Z15" i="6" s="1"/>
  <c r="T14" i="6" l="1"/>
  <c r="Q27" i="6"/>
  <c r="Q21" i="6"/>
  <c r="Q12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B6" i="5"/>
  <c r="B5" i="5"/>
  <c r="B4" i="5"/>
  <c r="B3" i="5"/>
  <c r="P8" i="3"/>
  <c r="P16" i="3"/>
  <c r="AA33" i="3"/>
  <c r="AA8" i="3" s="1"/>
  <c r="AA16" i="3"/>
  <c r="P33" i="3"/>
  <c r="O8" i="1"/>
  <c r="O16" i="1"/>
  <c r="O29" i="1"/>
  <c r="U20" i="2"/>
  <c r="U8" i="2" s="1"/>
  <c r="N20" i="2"/>
  <c r="N8" i="2" s="1"/>
  <c r="N16" i="2"/>
  <c r="U17" i="2" l="1"/>
</calcChain>
</file>

<file path=xl/sharedStrings.xml><?xml version="1.0" encoding="utf-8"?>
<sst xmlns="http://schemas.openxmlformats.org/spreadsheetml/2006/main" count="161" uniqueCount="67">
  <si>
    <t>Wellhead</t>
  </si>
  <si>
    <t>5000 psi</t>
  </si>
  <si>
    <t>20" Casing</t>
  </si>
  <si>
    <t>17-1/2" hole</t>
  </si>
  <si>
    <t>Total vertical depth</t>
  </si>
  <si>
    <t>Pore Pressure</t>
  </si>
  <si>
    <t>ppg</t>
  </si>
  <si>
    <t>psi</t>
  </si>
  <si>
    <t>BHP (Bottom Hole Pressure)</t>
  </si>
  <si>
    <t>Gas Gradient: 0.1 psi/ft</t>
  </si>
  <si>
    <t>Full Gas Coloum</t>
  </si>
  <si>
    <t>Hidrostatic Press of Gas</t>
  </si>
  <si>
    <t>Max Surface Pressure, full gas coloum to surface</t>
  </si>
  <si>
    <t>3000 psi</t>
  </si>
  <si>
    <t>20" SOW X 20-3/4" 3000 psi Flange Top</t>
  </si>
  <si>
    <t>20" Slip Lock X 20-3/4" 3000 psi Flange Top</t>
  </si>
  <si>
    <t>20" Slip Lock X 20-3/4" 3000 psi Clamp Hub</t>
  </si>
  <si>
    <t>20" Unitize Wellhead</t>
  </si>
  <si>
    <t>10000 psi</t>
  </si>
  <si>
    <t>Wellhead Sect B</t>
  </si>
  <si>
    <t>Wellhead Section-A</t>
  </si>
  <si>
    <t>13-3/8" Casing</t>
  </si>
  <si>
    <t>Wellhead Sect C</t>
  </si>
  <si>
    <t>Bottom</t>
  </si>
  <si>
    <t>Depth, ft-TVD</t>
  </si>
  <si>
    <t>ft</t>
  </si>
  <si>
    <t>Top</t>
  </si>
  <si>
    <t>20" SOW Bottom X 20-3/4" 3000 psi Flange Top</t>
  </si>
  <si>
    <t>13-5/8" 10000 psi Flange Bottom X 11" 10000 psi Flange Top</t>
  </si>
  <si>
    <t>20-3/4" 3000 psi Flange Bottom X 13-5/8" 10000 psi Flange Top</t>
  </si>
  <si>
    <t>26" hole</t>
  </si>
  <si>
    <t>30" Conductor</t>
  </si>
  <si>
    <t>30" Bevel End Bottom X 29-1/2" 500 psi Flange Top</t>
  </si>
  <si>
    <t>Starting Head</t>
  </si>
  <si>
    <t>Section-A</t>
  </si>
  <si>
    <t>Section-B</t>
  </si>
  <si>
    <t>Section-C</t>
  </si>
  <si>
    <t>7" Liner</t>
  </si>
  <si>
    <t>Depth, Ft</t>
  </si>
  <si>
    <t>20" Surface Casing</t>
  </si>
  <si>
    <t>13-3/8" Intermediate Casing</t>
  </si>
  <si>
    <t>9-5/8" Production Casing</t>
  </si>
  <si>
    <t>7" Production Liner</t>
  </si>
  <si>
    <t>4-1/2" Tubing</t>
  </si>
  <si>
    <t>Cementing</t>
  </si>
  <si>
    <t>TOC</t>
  </si>
  <si>
    <t>Surface</t>
  </si>
  <si>
    <t>Lead</t>
  </si>
  <si>
    <t>Tail</t>
  </si>
  <si>
    <t>OH Excess</t>
  </si>
  <si>
    <t>Tail Lenght</t>
  </si>
  <si>
    <t>TOC-TOL</t>
  </si>
  <si>
    <t>Drilling Fluid</t>
  </si>
  <si>
    <t>Mud Type</t>
  </si>
  <si>
    <t>MW start</t>
  </si>
  <si>
    <t>MW at TD</t>
  </si>
  <si>
    <t>Drilling Bit</t>
  </si>
  <si>
    <t>Directional Plan</t>
  </si>
  <si>
    <t>BHA Design</t>
  </si>
  <si>
    <t>Well Schematic</t>
  </si>
  <si>
    <t>Formation</t>
  </si>
  <si>
    <t>Gel Water</t>
  </si>
  <si>
    <t>KCL PHPA</t>
  </si>
  <si>
    <t>26" Bit</t>
  </si>
  <si>
    <t>IADC 115</t>
  </si>
  <si>
    <t>JDS-21-01 WELL DESIGN SUMMARY</t>
  </si>
  <si>
    <t>Revisi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</si>
</sst>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&quot; ft-TVD&quot;"/>
    <numFmt numFmtId="166" formatCode="_(* #,##0.0_);_(* \(#,##0.0\);_(* &quot;-&quot;??_);_(@_)"/>
    <numFmt numFmtId="167" formatCode="0&quot; psi&quot;"/>
    <numFmt numFmtId="168" formatCode="0.0&quot; ppg&quot;"/>
    <numFmt numFmtId="169" formatCode="0&quot; ft&quot;"/>
    <numFmt numFmtId="170" formatCode="0.0&quot; psi&quot;"/>
    <numFmt numFmtId="171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FF00"/>
      <name val="Arial"/>
      <family val="2"/>
    </font>
    <font>
      <sz val="12"/>
      <name val="Arial"/>
      <family val="2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 diagonalUp="1" diagonalDown="1"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 style="thin">
        <color auto="1"/>
      </diagonal>
    </border>
    <border diagonalUp="1" diagonalDown="1">
      <left style="thick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 style="thick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7" xfId="0" applyBorder="1"/>
    <xf numFmtId="0" fontId="0" fillId="3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3" borderId="12" xfId="0" applyFill="1" applyBorder="1"/>
    <xf numFmtId="0" fontId="0" fillId="3" borderId="11" xfId="0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1" applyNumberFormat="1" applyFont="1"/>
    <xf numFmtId="167" fontId="2" fillId="3" borderId="12" xfId="0" applyNumberFormat="1" applyFont="1" applyFill="1" applyBorder="1" applyAlignment="1">
      <alignment horizontal="center"/>
    </xf>
    <xf numFmtId="166" fontId="2" fillId="0" borderId="0" xfId="1" applyNumberFormat="1" applyFont="1"/>
    <xf numFmtId="167" fontId="2" fillId="3" borderId="11" xfId="0" applyNumberFormat="1" applyFont="1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0" xfId="0" applyFill="1"/>
    <xf numFmtId="0" fontId="0" fillId="5" borderId="0" xfId="0" applyFill="1" applyAlignment="1">
      <alignment horizontal="center" wrapText="1"/>
    </xf>
    <xf numFmtId="167" fontId="2" fillId="5" borderId="0" xfId="0" applyNumberFormat="1" applyFont="1" applyFill="1" applyAlignment="1">
      <alignment horizontal="center"/>
    </xf>
    <xf numFmtId="0" fontId="0" fillId="5" borderId="10" xfId="0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0" fontId="0" fillId="5" borderId="8" xfId="0" applyFill="1" applyBorder="1"/>
    <xf numFmtId="0" fontId="0" fillId="5" borderId="10" xfId="0" applyFill="1" applyBorder="1"/>
    <xf numFmtId="167" fontId="2" fillId="4" borderId="13" xfId="0" applyNumberFormat="1" applyFont="1" applyFill="1" applyBorder="1" applyAlignment="1">
      <alignment horizontal="center"/>
    </xf>
    <xf numFmtId="0" fontId="0" fillId="4" borderId="14" xfId="0" applyFill="1" applyBorder="1"/>
    <xf numFmtId="167" fontId="2" fillId="4" borderId="14" xfId="0" applyNumberFormat="1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2" xfId="0" applyFill="1" applyBorder="1"/>
    <xf numFmtId="166" fontId="0" fillId="4" borderId="12" xfId="1" applyNumberFormat="1" applyFont="1" applyFill="1" applyBorder="1"/>
    <xf numFmtId="166" fontId="2" fillId="4" borderId="12" xfId="1" applyNumberFormat="1" applyFont="1" applyFill="1" applyBorder="1"/>
    <xf numFmtId="0" fontId="0" fillId="4" borderId="11" xfId="0" applyFill="1" applyBorder="1"/>
    <xf numFmtId="166" fontId="0" fillId="0" borderId="0" xfId="1" applyNumberFormat="1" applyFont="1" applyFill="1" applyBorder="1"/>
    <xf numFmtId="166" fontId="2" fillId="0" borderId="0" xfId="1" applyNumberFormat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13" xfId="0" applyFont="1" applyFill="1" applyBorder="1"/>
    <xf numFmtId="0" fontId="3" fillId="2" borderId="15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5" xfId="0" applyFill="1" applyBorder="1"/>
    <xf numFmtId="0" fontId="0" fillId="5" borderId="16" xfId="0" applyFill="1" applyBorder="1"/>
    <xf numFmtId="0" fontId="0" fillId="0" borderId="13" xfId="0" applyBorder="1"/>
    <xf numFmtId="0" fontId="0" fillId="0" borderId="14" xfId="0" applyBorder="1"/>
    <xf numFmtId="0" fontId="0" fillId="5" borderId="14" xfId="0" applyFill="1" applyBorder="1"/>
    <xf numFmtId="0" fontId="0" fillId="5" borderId="16" xfId="0" applyFill="1" applyBorder="1" applyAlignment="1">
      <alignment horizontal="center"/>
    </xf>
    <xf numFmtId="166" fontId="0" fillId="4" borderId="14" xfId="1" applyNumberFormat="1" applyFont="1" applyFill="1" applyBorder="1"/>
    <xf numFmtId="166" fontId="2" fillId="4" borderId="14" xfId="1" applyNumberFormat="1" applyFont="1" applyFill="1" applyBorder="1"/>
    <xf numFmtId="0" fontId="0" fillId="5" borderId="0" xfId="0" applyFill="1" applyAlignment="1">
      <alignment horizontal="right"/>
    </xf>
    <xf numFmtId="0" fontId="0" fillId="5" borderId="14" xfId="0" applyFill="1" applyBorder="1" applyAlignment="1">
      <alignment horizontal="center" wrapText="1"/>
    </xf>
    <xf numFmtId="167" fontId="2" fillId="5" borderId="14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6" fontId="0" fillId="5" borderId="0" xfId="1" applyNumberFormat="1" applyFont="1" applyFill="1" applyBorder="1"/>
    <xf numFmtId="166" fontId="2" fillId="5" borderId="0" xfId="1" applyNumberFormat="1" applyFont="1" applyFill="1" applyBorder="1"/>
    <xf numFmtId="167" fontId="2" fillId="0" borderId="13" xfId="0" applyNumberFormat="1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4" borderId="13" xfId="0" applyFill="1" applyBorder="1"/>
    <xf numFmtId="0" fontId="0" fillId="4" borderId="15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7" borderId="0" xfId="0" applyFill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8" borderId="9" xfId="0" applyFill="1" applyBorder="1"/>
    <xf numFmtId="0" fontId="0" fillId="8" borderId="7" xfId="0" applyFill="1" applyBorder="1"/>
    <xf numFmtId="0" fontId="0" fillId="9" borderId="7" xfId="0" applyFill="1" applyBorder="1"/>
    <xf numFmtId="0" fontId="0" fillId="5" borderId="17" xfId="0" applyFill="1" applyBorder="1"/>
    <xf numFmtId="0" fontId="0" fillId="8" borderId="10" xfId="0" applyFill="1" applyBorder="1"/>
    <xf numFmtId="0" fontId="0" fillId="9" borderId="8" xfId="0" applyFill="1" applyBorder="1"/>
    <xf numFmtId="0" fontId="0" fillId="8" borderId="8" xfId="0" applyFill="1" applyBorder="1"/>
    <xf numFmtId="0" fontId="0" fillId="9" borderId="14" xfId="0" applyFill="1" applyBorder="1"/>
    <xf numFmtId="0" fontId="0" fillId="0" borderId="21" xfId="0" applyBorder="1"/>
    <xf numFmtId="168" fontId="0" fillId="0" borderId="0" xfId="0" applyNumberFormat="1"/>
    <xf numFmtId="169" fontId="0" fillId="0" borderId="0" xfId="0" applyNumberFormat="1"/>
    <xf numFmtId="9" fontId="0" fillId="0" borderId="21" xfId="2" applyFont="1" applyBorder="1"/>
    <xf numFmtId="168" fontId="0" fillId="0" borderId="21" xfId="0" applyNumberFormat="1" applyBorder="1"/>
    <xf numFmtId="0" fontId="0" fillId="7" borderId="0" xfId="0" applyFill="1" applyAlignment="1">
      <alignment horizontal="center"/>
    </xf>
    <xf numFmtId="170" fontId="0" fillId="0" borderId="0" xfId="0" applyNumberFormat="1"/>
    <xf numFmtId="171" fontId="0" fillId="0" borderId="0" xfId="0" applyNumberFormat="1"/>
    <xf numFmtId="0" fontId="0" fillId="10" borderId="7" xfId="0" applyFill="1" applyBorder="1"/>
    <xf numFmtId="168" fontId="0" fillId="10" borderId="0" xfId="0" applyNumberFormat="1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right"/>
    </xf>
    <xf numFmtId="0" fontId="0" fillId="3" borderId="12" xfId="0" applyFill="1" applyBorder="1" applyAlignment="1">
      <alignment horizontal="center" wrapText="1"/>
    </xf>
    <xf numFmtId="165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4" borderId="14" xfId="0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177800</xdr:rowOff>
    </xdr:from>
    <xdr:to>
      <xdr:col>8</xdr:col>
      <xdr:colOff>336550</xdr:colOff>
      <xdr:row>26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3F054F-8814-4752-AC1F-B5FD48AE4990}"/>
            </a:ext>
          </a:extLst>
        </xdr:cNvPr>
        <xdr:cNvSpPr/>
      </xdr:nvSpPr>
      <xdr:spPr>
        <a:xfrm>
          <a:off x="2857500" y="730250"/>
          <a:ext cx="184150" cy="4286250"/>
        </a:xfrm>
        <a:prstGeom prst="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08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177800</xdr:colOff>
      <xdr:row>26</xdr:row>
      <xdr:rowOff>95250</xdr:rowOff>
    </xdr:from>
    <xdr:to>
      <xdr:col>10</xdr:col>
      <xdr:colOff>82550</xdr:colOff>
      <xdr:row>26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58356C3-A89C-4B89-A278-9E1D2A93AF61}"/>
            </a:ext>
          </a:extLst>
        </xdr:cNvPr>
        <xdr:cNvCxnSpPr/>
      </xdr:nvCxnSpPr>
      <xdr:spPr>
        <a:xfrm flipH="1">
          <a:off x="2832100" y="4946650"/>
          <a:ext cx="482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54118</xdr:colOff>
      <xdr:row>9</xdr:row>
      <xdr:rowOff>82550</xdr:rowOff>
    </xdr:from>
    <xdr:to>
      <xdr:col>24</xdr:col>
      <xdr:colOff>500368</xdr:colOff>
      <xdr:row>29</xdr:row>
      <xdr:rowOff>78529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259CD3-1AC8-4BD1-B5CC-142E91A52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518" y="1765300"/>
          <a:ext cx="3208500" cy="3736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341618</xdr:colOff>
      <xdr:row>28</xdr:row>
      <xdr:rowOff>180129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085E2F-A7CA-4DE4-9DDD-1D065393C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600"/>
          <a:ext cx="3999218" cy="4656879"/>
        </a:xfrm>
        <a:prstGeom prst="rect">
          <a:avLst/>
        </a:prstGeom>
      </xdr:spPr>
    </xdr:pic>
    <xdr:clientData/>
  </xdr:twoCellAnchor>
  <xdr:twoCellAnchor editAs="oneCell">
    <xdr:from>
      <xdr:col>14</xdr:col>
      <xdr:colOff>260350</xdr:colOff>
      <xdr:row>1</xdr:row>
      <xdr:rowOff>171450</xdr:rowOff>
    </xdr:from>
    <xdr:to>
      <xdr:col>17</xdr:col>
      <xdr:colOff>349250</xdr:colOff>
      <xdr:row>9</xdr:row>
      <xdr:rowOff>66956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C1F702-7D96-4636-B2E0-BCA5EBD67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>
          <a:off x="8648700" y="355600"/>
          <a:ext cx="1917700" cy="14322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569709</xdr:colOff>
      <xdr:row>4</xdr:row>
      <xdr:rowOff>139375</xdr:rowOff>
    </xdr:from>
    <xdr:to>
      <xdr:col>7</xdr:col>
      <xdr:colOff>305356</xdr:colOff>
      <xdr:row>29</xdr:row>
      <xdr:rowOff>169825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13A6BE-9E1E-476F-B598-FCD14F74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09" y="875975"/>
          <a:ext cx="4002847" cy="4723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141111</xdr:colOff>
      <xdr:row>29</xdr:row>
      <xdr:rowOff>20638</xdr:rowOff>
    </xdr:from>
    <xdr:to>
      <xdr:col>15</xdr:col>
      <xdr:colOff>1690157</xdr:colOff>
      <xdr:row>43</xdr:row>
      <xdr:rowOff>53864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0B9904-23AC-4046-8F20-3CB31D6FF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1361" y="5449888"/>
          <a:ext cx="3879496" cy="2611326"/>
        </a:xfrm>
        <a:prstGeom prst="rect">
          <a:avLst/>
        </a:prstGeom>
      </xdr:spPr>
    </xdr:pic>
    <xdr:clientData/>
  </xdr:twoCellAnchor>
  <xdr:twoCellAnchor>
    <xdr:from>
      <xdr:col>5</xdr:col>
      <xdr:colOff>464039</xdr:colOff>
      <xdr:row>10</xdr:row>
      <xdr:rowOff>187243</xdr:rowOff>
    </xdr:from>
    <xdr:to>
      <xdr:col>11</xdr:col>
      <xdr:colOff>293077</xdr:colOff>
      <xdr:row>10</xdr:row>
      <xdr:rowOff>187243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E723753-D982-49DD-ABB5-487782D9AA5B}"/>
            </a:ext>
          </a:extLst>
        </xdr:cNvPr>
        <xdr:cNvCxnSpPr/>
      </xdr:nvCxnSpPr>
      <xdr:spPr>
        <a:xfrm>
          <a:off x="3512039" y="2066843"/>
          <a:ext cx="2915138" cy="0"/>
        </a:xfrm>
        <a:prstGeom prst="line">
          <a:avLst/>
        </a:prstGeom>
        <a:ln w="22225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274515</xdr:colOff>
      <xdr:row>17</xdr:row>
      <xdr:rowOff>14002</xdr:rowOff>
    </xdr:from>
    <xdr:to>
      <xdr:col>13</xdr:col>
      <xdr:colOff>62848</xdr:colOff>
      <xdr:row>17</xdr:row>
      <xdr:rowOff>14002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AA408F0-AEB1-4F8C-87B3-DF3597856788}"/>
            </a:ext>
          </a:extLst>
        </xdr:cNvPr>
        <xdr:cNvCxnSpPr/>
      </xdr:nvCxnSpPr>
      <xdr:spPr>
        <a:xfrm>
          <a:off x="3932115" y="3233452"/>
          <a:ext cx="2912533" cy="0"/>
        </a:xfrm>
        <a:prstGeom prst="line">
          <a:avLst/>
        </a:prstGeom>
        <a:ln w="22225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141111</xdr:colOff>
      <xdr:row>29</xdr:row>
      <xdr:rowOff>20638</xdr:rowOff>
    </xdr:from>
    <xdr:ext cx="3881699" cy="2573226"/>
    <xdr:pic>
      <xdr:nvPicPr>
        <xdr:cNvPr id="6" name="Picture 5">
          <a:extLst>
            <a:ext uri="{FF2B5EF4-FFF2-40B4-BE49-F238E27FC236}">
              <a16:creationId xmlns:a16="http://schemas.microsoft.com/office/drawing/2014/main" id="{E27029DF-562E-4F5A-B2F8-ECE31FBB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9161" y="5449888"/>
          <a:ext cx="3881699" cy="2573226"/>
        </a:xfrm>
        <a:prstGeom prst="rect">
          <a:avLst/>
        </a:prstGeom>
      </xdr:spPr>
    </xdr:pic>
    <xdr:clientData/>
  </xdr:oneCellAnchor>
  <xdr:twoCellAnchor editAs="oneCell">
    <xdr:from>
      <xdr:col>15</xdr:col>
      <xdr:colOff>1185765</xdr:colOff>
      <xdr:row>0</xdr:row>
      <xdr:rowOff>132896</xdr:rowOff>
    </xdr:from>
    <xdr:to>
      <xdr:col>16</xdr:col>
      <xdr:colOff>193025</xdr:colOff>
      <xdr:row>5</xdr:row>
      <xdr:rowOff>29373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75A5AB-F681-4BB9-8B3E-C72ADC0A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0800000">
          <a:off x="9326465" y="132896"/>
          <a:ext cx="1610760" cy="8235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569709</xdr:colOff>
      <xdr:row>4</xdr:row>
      <xdr:rowOff>139375</xdr:rowOff>
    </xdr:from>
    <xdr:to>
      <xdr:col>7</xdr:col>
      <xdr:colOff>305356</xdr:colOff>
      <xdr:row>29</xdr:row>
      <xdr:rowOff>156867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DAEA2-2B22-4546-8F8E-F76630365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09" y="513862"/>
          <a:ext cx="4009685" cy="4768527"/>
        </a:xfrm>
        <a:prstGeom prst="rect">
          <a:avLst/>
        </a:prstGeom>
      </xdr:spPr>
    </xdr:pic>
    <xdr:clientData/>
  </xdr:twoCellAnchor>
  <xdr:twoCellAnchor>
    <xdr:from>
      <xdr:col>5</xdr:col>
      <xdr:colOff>464039</xdr:colOff>
      <xdr:row>10</xdr:row>
      <xdr:rowOff>187243</xdr:rowOff>
    </xdr:from>
    <xdr:to>
      <xdr:col>11</xdr:col>
      <xdr:colOff>293077</xdr:colOff>
      <xdr:row>10</xdr:row>
      <xdr:rowOff>187243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EAF6F14-CD27-433E-B3D4-C46907843A9F}"/>
            </a:ext>
          </a:extLst>
        </xdr:cNvPr>
        <xdr:cNvCxnSpPr/>
      </xdr:nvCxnSpPr>
      <xdr:spPr>
        <a:xfrm>
          <a:off x="3516924" y="1709615"/>
          <a:ext cx="2922627" cy="0"/>
        </a:xfrm>
        <a:prstGeom prst="line">
          <a:avLst/>
        </a:prstGeom>
        <a:ln w="22225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274515</xdr:colOff>
      <xdr:row>17</xdr:row>
      <xdr:rowOff>14002</xdr:rowOff>
    </xdr:from>
    <xdr:to>
      <xdr:col>14</xdr:col>
      <xdr:colOff>62848</xdr:colOff>
      <xdr:row>17</xdr:row>
      <xdr:rowOff>14002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30C3E35-9CC3-4237-8D6C-814F5A67FA11}"/>
            </a:ext>
          </a:extLst>
        </xdr:cNvPr>
        <xdr:cNvCxnSpPr/>
      </xdr:nvCxnSpPr>
      <xdr:spPr>
        <a:xfrm>
          <a:off x="3937977" y="2879643"/>
          <a:ext cx="2922627" cy="0"/>
        </a:xfrm>
        <a:prstGeom prst="line">
          <a:avLst/>
        </a:prstGeom>
        <a:ln w="22225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569709</xdr:colOff>
      <xdr:row>4</xdr:row>
      <xdr:rowOff>139375</xdr:rowOff>
    </xdr:from>
    <xdr:to>
      <xdr:col>7</xdr:col>
      <xdr:colOff>305356</xdr:colOff>
      <xdr:row>29</xdr:row>
      <xdr:rowOff>47050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F52CB-B39C-458D-8C1A-834CA8AED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709" y="882325"/>
          <a:ext cx="4002847" cy="4722842"/>
        </a:xfrm>
        <a:prstGeom prst="rect">
          <a:avLst/>
        </a:prstGeom>
      </xdr:spPr>
    </xdr:pic>
    <xdr:clientData/>
  </xdr:twoCellAnchor>
  <xdr:twoCellAnchor>
    <xdr:from>
      <xdr:col>5</xdr:col>
      <xdr:colOff>464039</xdr:colOff>
      <xdr:row>10</xdr:row>
      <xdr:rowOff>187243</xdr:rowOff>
    </xdr:from>
    <xdr:to>
      <xdr:col>11</xdr:col>
      <xdr:colOff>293077</xdr:colOff>
      <xdr:row>10</xdr:row>
      <xdr:rowOff>187243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73C5B80-C0CD-483B-BDCD-383B4AD2E310}"/>
            </a:ext>
          </a:extLst>
        </xdr:cNvPr>
        <xdr:cNvCxnSpPr/>
      </xdr:nvCxnSpPr>
      <xdr:spPr>
        <a:xfrm>
          <a:off x="3512039" y="2073193"/>
          <a:ext cx="2915138" cy="0"/>
        </a:xfrm>
        <a:prstGeom prst="line">
          <a:avLst/>
        </a:prstGeom>
        <a:ln w="22225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274515</xdr:colOff>
      <xdr:row>17</xdr:row>
      <xdr:rowOff>14002</xdr:rowOff>
    </xdr:from>
    <xdr:to>
      <xdr:col>15</xdr:col>
      <xdr:colOff>62848</xdr:colOff>
      <xdr:row>17</xdr:row>
      <xdr:rowOff>14002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E37A4C8-8CE4-4B78-8EFA-FB90C267357C}"/>
            </a:ext>
          </a:extLst>
        </xdr:cNvPr>
        <xdr:cNvCxnSpPr/>
      </xdr:nvCxnSpPr>
      <xdr:spPr>
        <a:xfrm>
          <a:off x="3932115" y="3246152"/>
          <a:ext cx="3147483" cy="0"/>
        </a:xfrm>
        <a:prstGeom prst="line">
          <a:avLst/>
        </a:prstGeom>
        <a:ln w="22225"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30725</xdr:colOff>
      <xdr:row>24</xdr:row>
      <xdr:rowOff>153629</xdr:rowOff>
    </xdr:from>
    <xdr:to>
      <xdr:col>26</xdr:col>
      <xdr:colOff>122903</xdr:colOff>
      <xdr:row>29</xdr:row>
      <xdr:rowOff>30726</xdr:rowOff>
    </xdr:to>
    <xdr:sp macro="" textlink="">
      <xdr:nvSpPr>
        <xdr:cNvPr id="5" name="Right Bracket 4">
          <a:extLst>
            <a:ext uri="{FF2B5EF4-FFF2-40B4-BE49-F238E27FC236}">
              <a16:creationId xmlns:a16="http://schemas.microsoft.com/office/drawing/2014/main" id="{34373A77-C9A5-42B1-8B82-CC008A5BA947}"/>
            </a:ext>
          </a:extLst>
        </xdr:cNvPr>
        <xdr:cNvSpPr/>
      </xdr:nvSpPr>
      <xdr:spPr>
        <a:xfrm>
          <a:off x="13898306" y="4957097"/>
          <a:ext cx="92178" cy="819355"/>
        </a:xfrm>
        <a:prstGeom prst="rightBracket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26</xdr:col>
      <xdr:colOff>859093</xdr:colOff>
      <xdr:row>24</xdr:row>
      <xdr:rowOff>142158</xdr:rowOff>
    </xdr:from>
    <xdr:to>
      <xdr:col>26</xdr:col>
      <xdr:colOff>951271</xdr:colOff>
      <xdr:row>29</xdr:row>
      <xdr:rowOff>19255</xdr:rowOff>
    </xdr:to>
    <xdr:sp macro="" textlink="">
      <xdr:nvSpPr>
        <xdr:cNvPr id="6" name="Right Bracket 5">
          <a:extLst>
            <a:ext uri="{FF2B5EF4-FFF2-40B4-BE49-F238E27FC236}">
              <a16:creationId xmlns:a16="http://schemas.microsoft.com/office/drawing/2014/main" id="{2126F18A-BF52-477B-93D5-776314E3A09A}"/>
            </a:ext>
          </a:extLst>
        </xdr:cNvPr>
        <xdr:cNvSpPr/>
      </xdr:nvSpPr>
      <xdr:spPr>
        <a:xfrm flipH="1">
          <a:off x="14726674" y="4945626"/>
          <a:ext cx="92178" cy="819355"/>
        </a:xfrm>
        <a:prstGeom prst="rightBracket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71694</xdr:colOff>
      <xdr:row>24</xdr:row>
      <xdr:rowOff>134372</xdr:rowOff>
    </xdr:from>
    <xdr:to>
      <xdr:col>15</xdr:col>
      <xdr:colOff>163872</xdr:colOff>
      <xdr:row>29</xdr:row>
      <xdr:rowOff>11469</xdr:rowOff>
    </xdr:to>
    <xdr:sp macro="" textlink="">
      <xdr:nvSpPr>
        <xdr:cNvPr id="7" name="Right Bracket 6">
          <a:extLst>
            <a:ext uri="{FF2B5EF4-FFF2-40B4-BE49-F238E27FC236}">
              <a16:creationId xmlns:a16="http://schemas.microsoft.com/office/drawing/2014/main" id="{7B53C2D3-316A-438F-9871-D075C31F1F04}"/>
            </a:ext>
          </a:extLst>
        </xdr:cNvPr>
        <xdr:cNvSpPr/>
      </xdr:nvSpPr>
      <xdr:spPr>
        <a:xfrm>
          <a:off x="7384436" y="4937840"/>
          <a:ext cx="92178" cy="819355"/>
        </a:xfrm>
        <a:prstGeom prst="rightBracket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900062</xdr:colOff>
      <xdr:row>24</xdr:row>
      <xdr:rowOff>122901</xdr:rowOff>
    </xdr:from>
    <xdr:to>
      <xdr:col>15</xdr:col>
      <xdr:colOff>992240</xdr:colOff>
      <xdr:row>28</xdr:row>
      <xdr:rowOff>184353</xdr:rowOff>
    </xdr:to>
    <xdr:sp macro="" textlink="">
      <xdr:nvSpPr>
        <xdr:cNvPr id="8" name="Right Bracket 7">
          <a:extLst>
            <a:ext uri="{FF2B5EF4-FFF2-40B4-BE49-F238E27FC236}">
              <a16:creationId xmlns:a16="http://schemas.microsoft.com/office/drawing/2014/main" id="{22B0C3FD-A7BF-4A9B-A44F-0E9DEE38BABD}"/>
            </a:ext>
          </a:extLst>
        </xdr:cNvPr>
        <xdr:cNvSpPr/>
      </xdr:nvSpPr>
      <xdr:spPr>
        <a:xfrm flipH="1">
          <a:off x="8212804" y="4926369"/>
          <a:ext cx="92178" cy="819355"/>
        </a:xfrm>
        <a:prstGeom prst="rightBracket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539E-0F0F-4353-B07E-4E45DB621444}">
  <dimension ref="A1:AA31"/>
  <sheetViews>
    <sheetView topLeftCell="A10" workbookViewId="0">
      <selection activeCell="Q25" sqref="Q25"/>
    </sheetView>
  </sheetViews>
  <sheetFormatPr defaultRowHeight="14.5" x14ac:dyDescent="0.35"/>
  <cols>
    <col min="2" max="2" width="9.453125" bestFit="1" customWidth="1"/>
    <col min="4" max="4" width="3.08984375" customWidth="1"/>
    <col min="5" max="5" width="2.7265625" customWidth="1"/>
    <col min="6" max="6" width="2.81640625" customWidth="1"/>
    <col min="7" max="7" width="1.81640625" customWidth="1"/>
    <col min="8" max="8" width="1.36328125" customWidth="1"/>
    <col min="9" max="9" width="6.90625" customWidth="1"/>
    <col min="10" max="10" width="1.36328125" customWidth="1"/>
    <col min="11" max="11" width="1.81640625" customWidth="1"/>
    <col min="12" max="12" width="2.81640625" customWidth="1"/>
    <col min="13" max="13" width="2.7265625" customWidth="1"/>
    <col min="14" max="14" width="3.08984375" customWidth="1"/>
    <col min="15" max="15" width="18" customWidth="1"/>
    <col min="16" max="16" width="10.453125" customWidth="1"/>
    <col min="18" max="18" width="10.453125" customWidth="1"/>
    <col min="19" max="19" width="8.7265625" customWidth="1"/>
    <col min="20" max="20" width="10.1796875" customWidth="1"/>
    <col min="21" max="21" width="10.453125" customWidth="1"/>
    <col min="22" max="22" width="9.90625" bestFit="1" customWidth="1"/>
    <col min="23" max="23" width="10.453125" customWidth="1"/>
    <col min="25" max="25" width="10.453125" customWidth="1"/>
  </cols>
  <sheetData>
    <row r="1" spans="1:27" ht="15.5" x14ac:dyDescent="0.35">
      <c r="B1" s="100" t="s">
        <v>65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</row>
    <row r="4" spans="1:27" x14ac:dyDescent="0.35">
      <c r="A4" t="s">
        <v>38</v>
      </c>
      <c r="B4" s="78" t="s">
        <v>60</v>
      </c>
      <c r="C4" s="78" t="s">
        <v>38</v>
      </c>
      <c r="D4" s="78"/>
      <c r="E4" s="78"/>
      <c r="F4" s="78"/>
      <c r="G4" s="78"/>
      <c r="H4" s="78"/>
      <c r="I4" s="95" t="s">
        <v>59</v>
      </c>
      <c r="J4" s="78"/>
      <c r="K4" s="78"/>
      <c r="L4" s="78"/>
      <c r="M4" s="78"/>
      <c r="N4" s="78"/>
      <c r="O4" s="78"/>
      <c r="P4" s="78" t="s">
        <v>44</v>
      </c>
      <c r="Q4" s="78"/>
      <c r="R4" s="78" t="s">
        <v>52</v>
      </c>
      <c r="S4" s="78"/>
      <c r="T4" s="78"/>
      <c r="U4" s="78" t="s">
        <v>56</v>
      </c>
      <c r="V4" s="78"/>
      <c r="W4" s="78" t="s">
        <v>57</v>
      </c>
      <c r="X4" s="78"/>
      <c r="Y4" s="78" t="s">
        <v>58</v>
      </c>
    </row>
    <row r="5" spans="1:27" ht="15" thickBot="1" x14ac:dyDescent="0.4">
      <c r="A5">
        <v>0</v>
      </c>
      <c r="C5">
        <v>180</v>
      </c>
      <c r="D5" s="82"/>
      <c r="E5" s="84"/>
      <c r="F5" s="98"/>
      <c r="G5" s="1"/>
      <c r="K5" s="57"/>
      <c r="L5" s="98"/>
      <c r="M5" s="84"/>
      <c r="N5" s="86"/>
      <c r="O5" t="s">
        <v>31</v>
      </c>
      <c r="S5" t="s">
        <v>66</v>
      </c>
    </row>
    <row r="6" spans="1:27" ht="15" thickTop="1" x14ac:dyDescent="0.35">
      <c r="A6">
        <f>A5+500</f>
        <v>500</v>
      </c>
      <c r="E6" s="84"/>
      <c r="F6" s="98"/>
      <c r="G6" s="1"/>
      <c r="K6" s="57"/>
      <c r="L6" s="98"/>
      <c r="M6" s="87"/>
      <c r="P6" t="s">
        <v>45</v>
      </c>
      <c r="Q6" t="s">
        <v>46</v>
      </c>
    </row>
    <row r="7" spans="1:27" x14ac:dyDescent="0.35">
      <c r="A7">
        <f t="shared" ref="A7:A31" si="0">A6+500</f>
        <v>1000</v>
      </c>
      <c r="E7" s="84"/>
      <c r="F7" s="98"/>
      <c r="G7" s="1"/>
      <c r="K7" s="57"/>
      <c r="L7" s="98"/>
      <c r="M7" s="87"/>
      <c r="P7" t="s">
        <v>47</v>
      </c>
      <c r="Q7" s="91">
        <v>12.8</v>
      </c>
      <c r="R7" t="s">
        <v>53</v>
      </c>
      <c r="T7" t="s">
        <v>61</v>
      </c>
      <c r="U7" t="s">
        <v>63</v>
      </c>
      <c r="V7">
        <f>0.052*12.8*2150</f>
        <v>1431.04</v>
      </c>
    </row>
    <row r="8" spans="1:27" x14ac:dyDescent="0.35">
      <c r="A8">
        <f t="shared" si="0"/>
        <v>1500</v>
      </c>
      <c r="E8" s="84"/>
      <c r="F8" s="98"/>
      <c r="G8" s="1"/>
      <c r="K8" s="57"/>
      <c r="L8" s="98"/>
      <c r="M8" s="87"/>
      <c r="P8" t="s">
        <v>48</v>
      </c>
      <c r="Q8" s="91">
        <v>15.8</v>
      </c>
      <c r="R8" t="s">
        <v>54</v>
      </c>
      <c r="T8" s="91">
        <v>9.1999999999999993</v>
      </c>
      <c r="U8" t="s">
        <v>64</v>
      </c>
      <c r="V8" s="90">
        <f>0.052*15.8*150</f>
        <v>123.24</v>
      </c>
      <c r="X8" s="91"/>
      <c r="Z8" s="91"/>
    </row>
    <row r="9" spans="1:27" x14ac:dyDescent="0.35">
      <c r="A9">
        <f t="shared" si="0"/>
        <v>2000</v>
      </c>
      <c r="E9" s="83"/>
      <c r="F9" s="84"/>
      <c r="G9" s="1"/>
      <c r="K9" s="57"/>
      <c r="L9" s="84"/>
      <c r="M9" s="88"/>
      <c r="P9" t="s">
        <v>50</v>
      </c>
      <c r="Q9" s="92">
        <v>150</v>
      </c>
      <c r="R9" t="s">
        <v>55</v>
      </c>
      <c r="T9" s="91">
        <v>9.5</v>
      </c>
      <c r="V9" s="96">
        <f>SUM(V7:V8)</f>
        <v>1554.28</v>
      </c>
      <c r="W9" s="97">
        <f>V9/(0.052*C10)</f>
        <v>12.995652173913044</v>
      </c>
      <c r="X9" s="91" t="s">
        <v>6</v>
      </c>
      <c r="Z9" s="91"/>
    </row>
    <row r="10" spans="1:27" ht="15" thickBot="1" x14ac:dyDescent="0.4">
      <c r="A10">
        <f t="shared" si="0"/>
        <v>2500</v>
      </c>
      <c r="C10" s="105">
        <v>2300</v>
      </c>
      <c r="D10" s="105"/>
      <c r="E10" s="82"/>
      <c r="F10" s="84"/>
      <c r="G10" s="1"/>
      <c r="K10" s="57"/>
      <c r="L10" s="84"/>
      <c r="M10" s="86"/>
      <c r="N10" s="90" t="s">
        <v>39</v>
      </c>
      <c r="O10" s="90"/>
      <c r="P10" s="90" t="s">
        <v>49</v>
      </c>
      <c r="Q10" s="93">
        <v>1</v>
      </c>
      <c r="R10" s="90"/>
      <c r="S10" s="90"/>
      <c r="T10" s="93"/>
      <c r="U10" s="90"/>
      <c r="V10" s="93"/>
      <c r="W10" s="90"/>
      <c r="X10" s="93"/>
      <c r="Y10" s="90"/>
      <c r="Z10" s="93"/>
    </row>
    <row r="11" spans="1:27" ht="15" thickTop="1" x14ac:dyDescent="0.35">
      <c r="A11">
        <f t="shared" si="0"/>
        <v>3000</v>
      </c>
      <c r="F11" s="84"/>
      <c r="G11" s="1"/>
      <c r="K11" s="57"/>
      <c r="L11" s="87"/>
    </row>
    <row r="12" spans="1:27" x14ac:dyDescent="0.35">
      <c r="A12">
        <f t="shared" si="0"/>
        <v>3500</v>
      </c>
      <c r="F12" s="84"/>
      <c r="G12" s="1"/>
      <c r="K12" s="57"/>
      <c r="L12" s="87"/>
      <c r="P12" t="s">
        <v>45</v>
      </c>
      <c r="Q12" s="92">
        <f>C10-300</f>
        <v>2000</v>
      </c>
      <c r="T12" s="92"/>
      <c r="V12">
        <f>0.052*13.2*2000</f>
        <v>1372.7999999999997</v>
      </c>
      <c r="X12" s="92"/>
      <c r="Y12">
        <f>0.052*13.2*2000</f>
        <v>1372.7999999999997</v>
      </c>
      <c r="AA12" s="92"/>
    </row>
    <row r="13" spans="1:27" x14ac:dyDescent="0.35">
      <c r="A13">
        <f t="shared" si="0"/>
        <v>4000</v>
      </c>
      <c r="F13" s="84"/>
      <c r="G13" s="1"/>
      <c r="K13" s="57"/>
      <c r="L13" s="87"/>
      <c r="P13" t="s">
        <v>47</v>
      </c>
      <c r="Q13" s="91">
        <v>13.5</v>
      </c>
      <c r="R13" t="s">
        <v>53</v>
      </c>
      <c r="T13" t="s">
        <v>62</v>
      </c>
      <c r="V13">
        <f>0.052*13.5*(5300-2000-150)</f>
        <v>2211.2999999999997</v>
      </c>
    </row>
    <row r="14" spans="1:27" x14ac:dyDescent="0.35">
      <c r="A14">
        <f t="shared" si="0"/>
        <v>4500</v>
      </c>
      <c r="F14" s="84"/>
      <c r="G14" s="84"/>
      <c r="K14" s="89"/>
      <c r="L14" s="87"/>
      <c r="P14" t="s">
        <v>48</v>
      </c>
      <c r="Q14" s="91">
        <v>15.8</v>
      </c>
      <c r="R14" t="s">
        <v>54</v>
      </c>
      <c r="S14" s="99">
        <v>15.8</v>
      </c>
      <c r="T14" s="91">
        <f>T9</f>
        <v>9.5</v>
      </c>
      <c r="V14" s="90">
        <f>0.052*15.8*150</f>
        <v>123.24</v>
      </c>
      <c r="X14" s="91"/>
      <c r="Y14" s="90">
        <f>0.052*15.8*(5300-2000)</f>
        <v>2711.28</v>
      </c>
      <c r="AA14" s="91"/>
    </row>
    <row r="15" spans="1:27" x14ac:dyDescent="0.35">
      <c r="A15">
        <f t="shared" si="0"/>
        <v>5000</v>
      </c>
      <c r="F15" s="83"/>
      <c r="G15" s="84"/>
      <c r="K15" s="89"/>
      <c r="L15" s="88"/>
      <c r="P15" t="s">
        <v>50</v>
      </c>
      <c r="Q15" s="92">
        <v>150</v>
      </c>
      <c r="R15" t="s">
        <v>55</v>
      </c>
      <c r="T15" s="91">
        <v>13.2</v>
      </c>
      <c r="V15" s="96">
        <f>SUM(V12:V14)</f>
        <v>3707.3399999999992</v>
      </c>
      <c r="W15" s="97">
        <f>V15/(0.052*C16)</f>
        <v>13.451886792452829</v>
      </c>
      <c r="X15" s="91" t="s">
        <v>6</v>
      </c>
      <c r="Y15" s="96">
        <f>SUM(Y12:Y14)</f>
        <v>4084.08</v>
      </c>
      <c r="Z15" s="97">
        <f>Y15/(0.052*C16)</f>
        <v>14.818867924528304</v>
      </c>
      <c r="AA15" s="91" t="s">
        <v>6</v>
      </c>
    </row>
    <row r="16" spans="1:27" ht="15" thickBot="1" x14ac:dyDescent="0.4">
      <c r="A16">
        <f t="shared" si="0"/>
        <v>5500</v>
      </c>
      <c r="C16" s="105">
        <v>5300</v>
      </c>
      <c r="D16" s="105"/>
      <c r="E16" s="105"/>
      <c r="F16" s="82"/>
      <c r="G16" s="84"/>
      <c r="K16" s="89"/>
      <c r="L16" s="86"/>
      <c r="M16" s="90" t="s">
        <v>40</v>
      </c>
      <c r="N16" s="90"/>
      <c r="O16" s="90"/>
      <c r="P16" s="90" t="s">
        <v>49</v>
      </c>
      <c r="Q16" s="93">
        <v>0.5</v>
      </c>
      <c r="R16" s="90"/>
      <c r="S16" s="90"/>
      <c r="T16" s="93"/>
      <c r="U16" s="90"/>
      <c r="V16" s="93"/>
      <c r="W16" s="90"/>
      <c r="X16" s="93"/>
      <c r="Y16" s="90"/>
      <c r="Z16" s="93"/>
    </row>
    <row r="17" spans="1:26" ht="15" thickTop="1" x14ac:dyDescent="0.35">
      <c r="A17">
        <f t="shared" si="0"/>
        <v>6000</v>
      </c>
      <c r="G17" s="84"/>
      <c r="K17" s="87"/>
    </row>
    <row r="18" spans="1:26" x14ac:dyDescent="0.35">
      <c r="A18">
        <f t="shared" si="0"/>
        <v>6500</v>
      </c>
      <c r="G18" s="84"/>
      <c r="K18" s="87"/>
    </row>
    <row r="19" spans="1:26" x14ac:dyDescent="0.35">
      <c r="A19">
        <f t="shared" si="0"/>
        <v>7000</v>
      </c>
      <c r="G19" s="84"/>
      <c r="K19" s="87"/>
    </row>
    <row r="20" spans="1:26" x14ac:dyDescent="0.35">
      <c r="A20">
        <f t="shared" si="0"/>
        <v>7500</v>
      </c>
      <c r="G20" s="84"/>
      <c r="K20" s="87"/>
      <c r="R20" t="s">
        <v>53</v>
      </c>
      <c r="T20" t="s">
        <v>62</v>
      </c>
    </row>
    <row r="21" spans="1:26" x14ac:dyDescent="0.35">
      <c r="A21">
        <f t="shared" si="0"/>
        <v>8000</v>
      </c>
      <c r="G21" s="84"/>
      <c r="K21" s="87"/>
      <c r="P21" t="s">
        <v>45</v>
      </c>
      <c r="Q21" s="92">
        <f>C16-300</f>
        <v>5000</v>
      </c>
      <c r="R21" t="s">
        <v>54</v>
      </c>
      <c r="T21" s="91">
        <v>14</v>
      </c>
      <c r="V21" s="91"/>
      <c r="X21" s="91"/>
      <c r="Z21" s="91"/>
    </row>
    <row r="22" spans="1:26" x14ac:dyDescent="0.35">
      <c r="A22">
        <f t="shared" si="0"/>
        <v>8500</v>
      </c>
      <c r="G22" s="84"/>
      <c r="H22" s="102"/>
      <c r="I22" s="103"/>
      <c r="J22" s="104"/>
      <c r="K22" s="87"/>
      <c r="P22" t="s">
        <v>47</v>
      </c>
      <c r="Q22" s="91">
        <v>16.5</v>
      </c>
      <c r="R22" t="s">
        <v>55</v>
      </c>
      <c r="T22" s="91">
        <v>16.8</v>
      </c>
      <c r="V22" s="91"/>
      <c r="X22" s="91"/>
      <c r="Z22" s="91"/>
    </row>
    <row r="23" spans="1:26" ht="15" thickBot="1" x14ac:dyDescent="0.4">
      <c r="A23">
        <f t="shared" si="0"/>
        <v>9000</v>
      </c>
      <c r="G23" s="84"/>
      <c r="K23" s="87"/>
      <c r="P23" t="s">
        <v>48</v>
      </c>
      <c r="Q23" s="91">
        <v>16.5</v>
      </c>
      <c r="T23" s="91"/>
      <c r="V23" s="91"/>
      <c r="X23" s="91"/>
      <c r="Z23" s="91"/>
    </row>
    <row r="24" spans="1:26" ht="15" thickTop="1" x14ac:dyDescent="0.35">
      <c r="A24">
        <f>A23+500</f>
        <v>9500</v>
      </c>
      <c r="G24" s="83"/>
      <c r="H24" s="85"/>
      <c r="J24" s="85"/>
      <c r="K24" s="88"/>
      <c r="P24" t="s">
        <v>50</v>
      </c>
      <c r="Q24" s="92">
        <v>150</v>
      </c>
      <c r="T24" s="92"/>
      <c r="V24" s="92"/>
      <c r="X24" s="92"/>
      <c r="Z24" s="92"/>
    </row>
    <row r="25" spans="1:26" ht="15" thickBot="1" x14ac:dyDescent="0.4">
      <c r="A25">
        <f t="shared" si="0"/>
        <v>10000</v>
      </c>
      <c r="D25" s="101">
        <v>10000</v>
      </c>
      <c r="E25" s="101"/>
      <c r="F25" s="101"/>
      <c r="G25" s="82"/>
      <c r="H25" s="17"/>
      <c r="J25" s="58"/>
      <c r="K25" s="86"/>
      <c r="L25" s="90" t="s">
        <v>41</v>
      </c>
      <c r="M25" s="90"/>
      <c r="N25" s="90"/>
      <c r="O25" s="90"/>
      <c r="P25" s="90" t="s">
        <v>49</v>
      </c>
      <c r="Q25" s="93">
        <v>0.5</v>
      </c>
      <c r="R25" s="90"/>
      <c r="S25" s="90"/>
      <c r="T25" s="93"/>
      <c r="U25" s="90"/>
      <c r="V25" s="93"/>
      <c r="W25" s="90"/>
      <c r="X25" s="93"/>
      <c r="Y25" s="90"/>
      <c r="Z25" s="93"/>
    </row>
    <row r="26" spans="1:26" ht="15" thickTop="1" x14ac:dyDescent="0.35">
      <c r="A26">
        <f t="shared" si="0"/>
        <v>10500</v>
      </c>
      <c r="H26" s="17"/>
      <c r="J26" s="24"/>
      <c r="Q26" s="92"/>
      <c r="T26" s="92"/>
      <c r="V26" s="92"/>
      <c r="X26" s="92"/>
      <c r="Z26" s="92"/>
    </row>
    <row r="27" spans="1:26" x14ac:dyDescent="0.35">
      <c r="A27">
        <f t="shared" si="0"/>
        <v>11000</v>
      </c>
      <c r="H27" s="17"/>
      <c r="J27" s="24"/>
      <c r="K27" t="s">
        <v>43</v>
      </c>
      <c r="P27" t="s">
        <v>51</v>
      </c>
      <c r="Q27" s="92">
        <f>D25-300</f>
        <v>9700</v>
      </c>
      <c r="R27" t="s">
        <v>53</v>
      </c>
      <c r="T27" t="s">
        <v>62</v>
      </c>
    </row>
    <row r="28" spans="1:26" x14ac:dyDescent="0.35">
      <c r="A28">
        <f t="shared" si="0"/>
        <v>11500</v>
      </c>
      <c r="H28" s="17"/>
      <c r="J28" s="24"/>
      <c r="P28" t="s">
        <v>48</v>
      </c>
      <c r="Q28" s="91">
        <v>16.5</v>
      </c>
      <c r="R28" t="s">
        <v>54</v>
      </c>
      <c r="T28" s="91">
        <v>14</v>
      </c>
      <c r="V28" s="91"/>
      <c r="X28" s="91"/>
      <c r="Z28" s="91"/>
    </row>
    <row r="29" spans="1:26" ht="15" thickBot="1" x14ac:dyDescent="0.4">
      <c r="A29">
        <f t="shared" si="0"/>
        <v>12000</v>
      </c>
      <c r="D29" s="101">
        <v>12000</v>
      </c>
      <c r="E29" s="101"/>
      <c r="F29" s="101"/>
      <c r="H29" s="18"/>
      <c r="J29" s="25"/>
      <c r="K29" s="90" t="s">
        <v>42</v>
      </c>
      <c r="L29" s="90"/>
      <c r="M29" s="90"/>
      <c r="N29" s="90"/>
      <c r="O29" s="90"/>
      <c r="P29" s="90" t="s">
        <v>49</v>
      </c>
      <c r="Q29" s="93">
        <v>0.3</v>
      </c>
      <c r="R29" s="90" t="s">
        <v>55</v>
      </c>
      <c r="S29" s="90"/>
      <c r="T29" s="94">
        <v>14</v>
      </c>
      <c r="U29" s="90"/>
      <c r="V29" s="94"/>
      <c r="W29" s="90"/>
      <c r="X29" s="94"/>
      <c r="Y29" s="90"/>
      <c r="Z29" s="94"/>
    </row>
    <row r="30" spans="1:26" ht="15" thickTop="1" x14ac:dyDescent="0.35">
      <c r="A30">
        <f>A29+500</f>
        <v>12500</v>
      </c>
    </row>
    <row r="31" spans="1:26" x14ac:dyDescent="0.35">
      <c r="A31">
        <f t="shared" si="0"/>
        <v>13000</v>
      </c>
    </row>
  </sheetData>
  <mergeCells count="6">
    <mergeCell ref="B1:Y1"/>
    <mergeCell ref="D25:F25"/>
    <mergeCell ref="D29:F29"/>
    <mergeCell ref="H22:J22"/>
    <mergeCell ref="C16:E16"/>
    <mergeCell ref="C10:D10"/>
  </mergeCells>
  <pageMargins left="0.7" right="0.7" top="0.75" bottom="0.75" header="0.3" footer="0.3"/>
  <pageSetup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DD1E-1A0E-4521-A91D-B38368B684BC}">
  <dimension ref="J3:M20"/>
  <sheetViews>
    <sheetView topLeftCell="A5" workbookViewId="0">
      <selection activeCell="K3" sqref="K3"/>
    </sheetView>
  </sheetViews>
  <sheetFormatPr defaultRowHeight="14.5" x14ac:dyDescent="0.35"/>
  <cols>
    <col min="10" max="10" width="4.6328125" customWidth="1"/>
    <col min="11" max="11" width="14.81640625" customWidth="1"/>
    <col min="12" max="12" width="4.6328125" customWidth="1"/>
  </cols>
  <sheetData>
    <row r="3" spans="10:13" ht="15" thickBot="1" x14ac:dyDescent="0.4">
      <c r="K3" s="80" t="s">
        <v>32</v>
      </c>
    </row>
    <row r="4" spans="10:13" ht="15.5" x14ac:dyDescent="0.35">
      <c r="J4" s="7"/>
      <c r="K4" s="36"/>
      <c r="L4" s="37"/>
    </row>
    <row r="5" spans="10:13" ht="16" thickBot="1" x14ac:dyDescent="0.4">
      <c r="J5" s="8"/>
      <c r="K5" s="38"/>
      <c r="L5" s="39"/>
    </row>
    <row r="6" spans="10:13" x14ac:dyDescent="0.35">
      <c r="J6" s="1"/>
      <c r="K6" s="14"/>
      <c r="L6" s="3"/>
    </row>
    <row r="7" spans="10:13" ht="15" thickBot="1" x14ac:dyDescent="0.4">
      <c r="J7" s="4"/>
      <c r="K7" s="106"/>
      <c r="L7" s="5"/>
      <c r="M7" t="s">
        <v>31</v>
      </c>
    </row>
    <row r="8" spans="10:13" ht="15" thickTop="1" x14ac:dyDescent="0.35">
      <c r="K8" s="106"/>
    </row>
    <row r="9" spans="10:13" ht="15.5" x14ac:dyDescent="0.35">
      <c r="K9" s="9"/>
      <c r="L9" s="6" t="s">
        <v>30</v>
      </c>
    </row>
    <row r="10" spans="10:13" ht="15.5" x14ac:dyDescent="0.35">
      <c r="K10" s="10"/>
      <c r="L10" s="6" t="s">
        <v>4</v>
      </c>
    </row>
    <row r="19" spans="10:12" x14ac:dyDescent="0.35">
      <c r="J19" s="12" t="s">
        <v>5</v>
      </c>
      <c r="K19" s="13"/>
      <c r="L19" t="s">
        <v>6</v>
      </c>
    </row>
    <row r="20" spans="10:12" x14ac:dyDescent="0.35">
      <c r="J20" s="12" t="s">
        <v>5</v>
      </c>
      <c r="K20" s="15"/>
      <c r="L20" t="s">
        <v>7</v>
      </c>
    </row>
  </sheetData>
  <mergeCells count="1">
    <mergeCell ref="K7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52E3-2653-4B29-B338-B306832F5B82}">
  <dimension ref="J2:W20"/>
  <sheetViews>
    <sheetView topLeftCell="A10" zoomScale="98" zoomScaleNormal="98" workbookViewId="0">
      <selection activeCell="M4" sqref="M4"/>
    </sheetView>
  </sheetViews>
  <sheetFormatPr defaultRowHeight="14.5" x14ac:dyDescent="0.35"/>
  <cols>
    <col min="10" max="13" width="4.6328125" customWidth="1"/>
    <col min="14" max="14" width="14.81640625" customWidth="1"/>
    <col min="15" max="15" width="4.6328125" customWidth="1"/>
    <col min="16" max="16" width="37.26953125" customWidth="1"/>
    <col min="17" max="20" width="4.6328125" customWidth="1"/>
    <col min="21" max="21" width="14.81640625" customWidth="1"/>
    <col min="22" max="22" width="4.6328125" customWidth="1"/>
    <col min="23" max="23" width="37.26953125" customWidth="1"/>
  </cols>
  <sheetData>
    <row r="2" spans="10:23" x14ac:dyDescent="0.35">
      <c r="M2" t="s">
        <v>17</v>
      </c>
    </row>
    <row r="3" spans="10:23" x14ac:dyDescent="0.35">
      <c r="M3" t="s">
        <v>16</v>
      </c>
    </row>
    <row r="4" spans="10:23" x14ac:dyDescent="0.35">
      <c r="M4" t="s">
        <v>15</v>
      </c>
    </row>
    <row r="5" spans="10:23" ht="15" thickBot="1" x14ac:dyDescent="0.4">
      <c r="M5" t="s">
        <v>14</v>
      </c>
    </row>
    <row r="6" spans="10:23" ht="15.5" x14ac:dyDescent="0.35">
      <c r="M6" s="108" t="s">
        <v>0</v>
      </c>
      <c r="N6" s="109"/>
      <c r="O6" s="110"/>
      <c r="T6" s="108" t="s">
        <v>0</v>
      </c>
      <c r="U6" s="109"/>
      <c r="V6" s="110"/>
    </row>
    <row r="7" spans="10:23" ht="16" thickBot="1" x14ac:dyDescent="0.4">
      <c r="M7" s="111" t="s">
        <v>13</v>
      </c>
      <c r="N7" s="112"/>
      <c r="O7" s="113"/>
      <c r="T7" s="111" t="s">
        <v>1</v>
      </c>
      <c r="U7" s="112"/>
      <c r="V7" s="113"/>
    </row>
    <row r="8" spans="10:23" x14ac:dyDescent="0.35">
      <c r="M8" s="1"/>
      <c r="N8" s="14">
        <f>N20-N16</f>
        <v>2859.88</v>
      </c>
      <c r="O8" s="3" t="s">
        <v>12</v>
      </c>
      <c r="T8" s="1"/>
      <c r="U8" s="14">
        <f>U20-U16</f>
        <v>3389.88</v>
      </c>
      <c r="V8" s="3" t="s">
        <v>12</v>
      </c>
    </row>
    <row r="9" spans="10:23" x14ac:dyDescent="0.35">
      <c r="M9" s="1"/>
      <c r="N9" s="2"/>
      <c r="O9" s="3"/>
      <c r="T9" s="1"/>
      <c r="U9" s="2"/>
      <c r="V9" s="3"/>
    </row>
    <row r="10" spans="10:23" x14ac:dyDescent="0.35">
      <c r="M10" s="1"/>
      <c r="N10" s="9" t="s">
        <v>10</v>
      </c>
      <c r="O10" s="3"/>
      <c r="T10" s="1"/>
      <c r="U10" s="9"/>
      <c r="V10" s="3"/>
    </row>
    <row r="11" spans="10:23" ht="16" thickBot="1" x14ac:dyDescent="0.4">
      <c r="J11" s="107">
        <v>2300</v>
      </c>
      <c r="K11" s="107"/>
      <c r="L11" s="107"/>
      <c r="M11" s="4"/>
      <c r="N11" s="106" t="s">
        <v>9</v>
      </c>
      <c r="O11" s="5"/>
      <c r="P11" s="6" t="s">
        <v>2</v>
      </c>
      <c r="Q11" s="107">
        <v>2300</v>
      </c>
      <c r="R11" s="107"/>
      <c r="S11" s="107"/>
      <c r="T11" s="4"/>
      <c r="U11" s="106"/>
      <c r="V11" s="5"/>
      <c r="W11" s="6" t="s">
        <v>2</v>
      </c>
    </row>
    <row r="12" spans="10:23" ht="15" thickTop="1" x14ac:dyDescent="0.35">
      <c r="J12" s="11"/>
      <c r="K12" s="11"/>
      <c r="L12" s="11"/>
      <c r="N12" s="106"/>
      <c r="R12" s="11"/>
      <c r="S12" s="11"/>
      <c r="U12" s="106"/>
    </row>
    <row r="13" spans="10:23" x14ac:dyDescent="0.35">
      <c r="J13" s="11"/>
      <c r="K13" s="11"/>
      <c r="L13" s="11"/>
      <c r="N13" s="9"/>
      <c r="R13" s="11"/>
      <c r="S13" s="11"/>
      <c r="U13" s="9"/>
    </row>
    <row r="14" spans="10:23" ht="15.5" x14ac:dyDescent="0.35">
      <c r="J14" s="11"/>
      <c r="K14" s="11"/>
      <c r="L14" s="11"/>
      <c r="N14" s="106" t="s">
        <v>11</v>
      </c>
      <c r="O14" s="6" t="s">
        <v>3</v>
      </c>
      <c r="R14" s="11"/>
      <c r="S14" s="11"/>
      <c r="U14" s="106"/>
      <c r="V14" s="6" t="s">
        <v>3</v>
      </c>
    </row>
    <row r="15" spans="10:23" x14ac:dyDescent="0.35">
      <c r="J15" s="11"/>
      <c r="K15" s="11"/>
      <c r="L15" s="11"/>
      <c r="N15" s="106"/>
      <c r="R15" s="11"/>
      <c r="S15" s="11"/>
      <c r="U15" s="106"/>
    </row>
    <row r="16" spans="10:23" x14ac:dyDescent="0.35">
      <c r="J16" s="11"/>
      <c r="K16" s="11"/>
      <c r="L16" s="11"/>
      <c r="N16" s="14">
        <f>0.1*J17</f>
        <v>530</v>
      </c>
      <c r="R16" s="11"/>
      <c r="S16" s="11"/>
      <c r="U16" s="14"/>
    </row>
    <row r="17" spans="10:23" ht="15.5" x14ac:dyDescent="0.35">
      <c r="J17" s="107">
        <v>5300</v>
      </c>
      <c r="K17" s="107"/>
      <c r="L17" s="107"/>
      <c r="N17" s="10"/>
      <c r="O17" s="6" t="s">
        <v>4</v>
      </c>
      <c r="Q17" s="107">
        <v>5300</v>
      </c>
      <c r="R17" s="107"/>
      <c r="S17" s="107"/>
      <c r="U17" s="16">
        <f>U20</f>
        <v>3389.88</v>
      </c>
      <c r="V17" s="6" t="s">
        <v>4</v>
      </c>
    </row>
    <row r="18" spans="10:23" x14ac:dyDescent="0.35">
      <c r="J18" s="11"/>
      <c r="K18" s="11"/>
      <c r="L18" s="11"/>
      <c r="R18" s="11"/>
      <c r="S18" s="11"/>
    </row>
    <row r="19" spans="10:23" x14ac:dyDescent="0.35">
      <c r="J19" s="11"/>
      <c r="K19" s="11"/>
      <c r="L19" s="11"/>
      <c r="M19" s="12" t="s">
        <v>5</v>
      </c>
      <c r="N19" s="13">
        <v>12.3</v>
      </c>
      <c r="O19" t="s">
        <v>6</v>
      </c>
      <c r="R19" s="11"/>
      <c r="S19" s="11"/>
      <c r="T19" s="12" t="s">
        <v>5</v>
      </c>
      <c r="U19" s="13">
        <v>12.3</v>
      </c>
      <c r="V19" t="s">
        <v>6</v>
      </c>
    </row>
    <row r="20" spans="10:23" x14ac:dyDescent="0.35">
      <c r="M20" s="12" t="s">
        <v>5</v>
      </c>
      <c r="N20" s="15">
        <f>0.052*N19*J17</f>
        <v>3389.88</v>
      </c>
      <c r="O20" t="s">
        <v>7</v>
      </c>
      <c r="P20" t="s">
        <v>8</v>
      </c>
      <c r="T20" s="12" t="s">
        <v>5</v>
      </c>
      <c r="U20" s="15">
        <f>0.052*U19*Q17</f>
        <v>3389.88</v>
      </c>
      <c r="V20" t="s">
        <v>7</v>
      </c>
      <c r="W20" t="s">
        <v>8</v>
      </c>
    </row>
  </sheetData>
  <mergeCells count="12">
    <mergeCell ref="N14:N15"/>
    <mergeCell ref="U14:U15"/>
    <mergeCell ref="J17:L17"/>
    <mergeCell ref="Q17:S17"/>
    <mergeCell ref="M6:O6"/>
    <mergeCell ref="T6:V6"/>
    <mergeCell ref="M7:O7"/>
    <mergeCell ref="T7:V7"/>
    <mergeCell ref="J11:L11"/>
    <mergeCell ref="N11:N12"/>
    <mergeCell ref="Q11:S11"/>
    <mergeCell ref="U11:U12"/>
  </mergeCells>
  <pageMargins left="0.7" right="0.7" top="0.75" bottom="0.75" header="0.3" footer="0.3"/>
  <pageSetup orientation="portrait" horizontalDpi="120" verticalDpi="7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E4C9-FF09-41BF-BB62-70D9BF096CFC}">
  <dimension ref="J3:R29"/>
  <sheetViews>
    <sheetView zoomScale="72" zoomScaleNormal="72" workbookViewId="0">
      <selection activeCell="R16" sqref="R16"/>
    </sheetView>
  </sheetViews>
  <sheetFormatPr defaultRowHeight="14.5" x14ac:dyDescent="0.35"/>
  <cols>
    <col min="10" max="13" width="4.6328125" customWidth="1"/>
    <col min="14" max="14" width="3.36328125" customWidth="1"/>
    <col min="15" max="15" width="14.81640625" customWidth="1"/>
    <col min="16" max="16" width="3" customWidth="1"/>
    <col min="17" max="17" width="4.6328125" customWidth="1"/>
    <col min="18" max="18" width="37.26953125" customWidth="1"/>
  </cols>
  <sheetData>
    <row r="3" spans="10:18" ht="15" thickBot="1" x14ac:dyDescent="0.4"/>
    <row r="4" spans="10:18" x14ac:dyDescent="0.35">
      <c r="N4" s="48"/>
      <c r="O4" s="49"/>
      <c r="P4" s="50"/>
      <c r="Q4" t="s">
        <v>19</v>
      </c>
    </row>
    <row r="5" spans="10:18" ht="15" thickBot="1" x14ac:dyDescent="0.4">
      <c r="N5" s="51"/>
      <c r="O5" s="52"/>
      <c r="P5" s="53"/>
      <c r="Q5" t="s">
        <v>18</v>
      </c>
    </row>
    <row r="6" spans="10:18" ht="15.5" x14ac:dyDescent="0.35">
      <c r="M6" s="40"/>
      <c r="N6" s="41"/>
      <c r="O6" s="46"/>
      <c r="P6" s="41"/>
      <c r="Q6" s="42"/>
      <c r="R6" t="s">
        <v>20</v>
      </c>
    </row>
    <row r="7" spans="10:18" ht="16" thickBot="1" x14ac:dyDescent="0.4">
      <c r="M7" s="43"/>
      <c r="N7" s="44"/>
      <c r="O7" s="47"/>
      <c r="P7" s="44"/>
      <c r="Q7" s="45"/>
      <c r="R7" t="s">
        <v>13</v>
      </c>
    </row>
    <row r="8" spans="10:18" x14ac:dyDescent="0.35">
      <c r="M8" s="17"/>
      <c r="O8" s="26">
        <f>O29-O16</f>
        <v>7424</v>
      </c>
      <c r="P8" s="23"/>
      <c r="Q8" s="24" t="s">
        <v>12</v>
      </c>
    </row>
    <row r="9" spans="10:18" x14ac:dyDescent="0.35">
      <c r="M9" s="17"/>
      <c r="O9" s="27"/>
      <c r="Q9" s="24"/>
    </row>
    <row r="10" spans="10:18" x14ac:dyDescent="0.35">
      <c r="M10" s="17"/>
      <c r="N10" s="19"/>
      <c r="O10" s="27" t="s">
        <v>10</v>
      </c>
      <c r="P10" s="19"/>
      <c r="Q10" s="24"/>
    </row>
    <row r="11" spans="10:18" ht="16" thickBot="1" x14ac:dyDescent="0.4">
      <c r="J11" s="107">
        <v>2300</v>
      </c>
      <c r="K11" s="107"/>
      <c r="L11" s="107"/>
      <c r="M11" s="18"/>
      <c r="N11" s="19"/>
      <c r="O11" s="114" t="s">
        <v>9</v>
      </c>
      <c r="P11" s="20"/>
      <c r="Q11" s="25"/>
      <c r="R11" s="6" t="s">
        <v>2</v>
      </c>
    </row>
    <row r="12" spans="10:18" ht="15" thickTop="1" x14ac:dyDescent="0.35">
      <c r="J12" s="11"/>
      <c r="K12" s="11"/>
      <c r="L12" s="11"/>
      <c r="N12" s="19"/>
      <c r="O12" s="114"/>
      <c r="P12" s="20"/>
    </row>
    <row r="13" spans="10:18" x14ac:dyDescent="0.35">
      <c r="J13" s="11"/>
      <c r="K13" s="11"/>
      <c r="L13" s="11"/>
      <c r="N13" s="19"/>
      <c r="O13" s="27"/>
      <c r="P13" s="19"/>
    </row>
    <row r="14" spans="10:18" ht="15.5" x14ac:dyDescent="0.35">
      <c r="J14" s="11"/>
      <c r="K14" s="11"/>
      <c r="L14" s="11"/>
      <c r="N14" s="19"/>
      <c r="O14" s="114" t="s">
        <v>11</v>
      </c>
      <c r="P14" s="20"/>
      <c r="Q14" s="6" t="s">
        <v>3</v>
      </c>
    </row>
    <row r="15" spans="10:18" x14ac:dyDescent="0.35">
      <c r="J15" s="11"/>
      <c r="K15" s="11"/>
      <c r="L15" s="11"/>
      <c r="N15" s="19"/>
      <c r="O15" s="114"/>
      <c r="P15" s="20"/>
    </row>
    <row r="16" spans="10:18" x14ac:dyDescent="0.35">
      <c r="J16" s="11"/>
      <c r="K16" s="11"/>
      <c r="L16" s="11"/>
      <c r="N16" s="19"/>
      <c r="O16" s="28">
        <f>0.1*K26</f>
        <v>1000</v>
      </c>
      <c r="P16" s="21"/>
    </row>
    <row r="17" spans="10:18" ht="16" thickBot="1" x14ac:dyDescent="0.4">
      <c r="J17" s="107">
        <v>5300</v>
      </c>
      <c r="K17" s="107"/>
      <c r="L17" s="107"/>
      <c r="N17" s="18"/>
      <c r="O17" s="29"/>
      <c r="P17" s="22"/>
      <c r="Q17" s="6" t="s">
        <v>21</v>
      </c>
    </row>
    <row r="18" spans="10:18" ht="15" thickTop="1" x14ac:dyDescent="0.35">
      <c r="J18" s="11"/>
      <c r="K18" s="11"/>
      <c r="L18" s="11"/>
      <c r="O18" s="30"/>
    </row>
    <row r="19" spans="10:18" x14ac:dyDescent="0.35">
      <c r="J19" s="11"/>
      <c r="K19" s="11"/>
      <c r="L19" s="11"/>
      <c r="M19" s="12"/>
      <c r="N19" s="12"/>
      <c r="O19" s="31"/>
      <c r="P19" s="13"/>
    </row>
    <row r="20" spans="10:18" x14ac:dyDescent="0.35">
      <c r="M20" s="12"/>
      <c r="N20" s="12"/>
      <c r="O20" s="32"/>
      <c r="P20" s="15"/>
    </row>
    <row r="21" spans="10:18" x14ac:dyDescent="0.35">
      <c r="O21" s="30"/>
    </row>
    <row r="22" spans="10:18" x14ac:dyDescent="0.35">
      <c r="O22" s="30"/>
    </row>
    <row r="23" spans="10:18" x14ac:dyDescent="0.35">
      <c r="O23" s="30"/>
    </row>
    <row r="24" spans="10:18" x14ac:dyDescent="0.35">
      <c r="O24" s="30"/>
    </row>
    <row r="25" spans="10:18" x14ac:dyDescent="0.35">
      <c r="O25" s="30"/>
    </row>
    <row r="26" spans="10:18" x14ac:dyDescent="0.35">
      <c r="K26" s="107">
        <v>10000</v>
      </c>
      <c r="L26" s="107"/>
      <c r="M26" s="107"/>
      <c r="O26" s="33"/>
    </row>
    <row r="28" spans="10:18" x14ac:dyDescent="0.35">
      <c r="M28" s="12" t="s">
        <v>5</v>
      </c>
      <c r="N28" s="12"/>
      <c r="O28" s="34">
        <v>16.2</v>
      </c>
      <c r="Q28" t="s">
        <v>6</v>
      </c>
    </row>
    <row r="29" spans="10:18" x14ac:dyDescent="0.35">
      <c r="M29" s="12" t="s">
        <v>5</v>
      </c>
      <c r="N29" s="12"/>
      <c r="O29" s="35">
        <f>0.052*O28*K26</f>
        <v>8424</v>
      </c>
      <c r="Q29" t="s">
        <v>7</v>
      </c>
      <c r="R29" t="s">
        <v>8</v>
      </c>
    </row>
  </sheetData>
  <mergeCells count="5">
    <mergeCell ref="K26:M26"/>
    <mergeCell ref="J11:L11"/>
    <mergeCell ref="J17:L17"/>
    <mergeCell ref="O11:O12"/>
    <mergeCell ref="O14:O15"/>
  </mergeCells>
  <pageMargins left="0.7" right="0.7" top="0.75" bottom="0.75" header="0.3" footer="0.3"/>
  <pageSetup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637C-0C5D-421F-817C-12CCA1F2E308}">
  <dimension ref="J1:AF33"/>
  <sheetViews>
    <sheetView tabSelected="1" zoomScale="62" zoomScaleNormal="62" workbookViewId="0">
      <selection activeCell="H2" sqref="H2"/>
    </sheetView>
  </sheetViews>
  <sheetFormatPr defaultRowHeight="14.5" x14ac:dyDescent="0.35"/>
  <cols>
    <col min="10" max="13" width="4.6328125" customWidth="1"/>
    <col min="14" max="15" width="3.36328125" customWidth="1"/>
    <col min="16" max="16" width="14.81640625" customWidth="1"/>
    <col min="17" max="17" width="4.54296875" customWidth="1"/>
    <col min="18" max="18" width="3" customWidth="1"/>
    <col min="19" max="19" width="4.6328125" customWidth="1"/>
    <col min="20" max="20" width="37.26953125" customWidth="1"/>
    <col min="22" max="24" width="4.6328125" customWidth="1"/>
    <col min="25" max="26" width="3.36328125" customWidth="1"/>
    <col min="27" max="27" width="14.81640625" customWidth="1"/>
    <col min="28" max="28" width="4.54296875" customWidth="1"/>
    <col min="29" max="29" width="3" customWidth="1"/>
    <col min="30" max="30" width="4.6328125" customWidth="1"/>
    <col min="31" max="31" width="18.36328125" customWidth="1"/>
  </cols>
  <sheetData>
    <row r="1" spans="10:32" ht="15" thickBot="1" x14ac:dyDescent="0.4"/>
    <row r="2" spans="10:32" ht="18.5" x14ac:dyDescent="0.45">
      <c r="O2" s="72"/>
      <c r="P2" s="73"/>
      <c r="Q2" s="74"/>
      <c r="R2" t="s">
        <v>22</v>
      </c>
      <c r="Z2" s="72"/>
      <c r="AA2" s="73"/>
      <c r="AB2" s="74"/>
      <c r="AC2" t="s">
        <v>22</v>
      </c>
      <c r="AF2" s="79" t="s">
        <v>28</v>
      </c>
    </row>
    <row r="3" spans="10:32" ht="19" thickBot="1" x14ac:dyDescent="0.5">
      <c r="O3" s="75"/>
      <c r="P3" s="76"/>
      <c r="Q3" s="77"/>
      <c r="R3" t="s">
        <v>18</v>
      </c>
      <c r="Z3" s="75"/>
      <c r="AA3" s="76"/>
      <c r="AB3" s="77"/>
      <c r="AC3" t="s">
        <v>18</v>
      </c>
      <c r="AF3" s="79"/>
    </row>
    <row r="4" spans="10:32" ht="18.5" x14ac:dyDescent="0.45">
      <c r="N4" s="48"/>
      <c r="O4" s="49"/>
      <c r="P4" s="70"/>
      <c r="Q4" s="49"/>
      <c r="R4" s="50"/>
      <c r="S4" t="s">
        <v>19</v>
      </c>
      <c r="Y4" s="48"/>
      <c r="Z4" s="49"/>
      <c r="AA4" s="70"/>
      <c r="AB4" s="49"/>
      <c r="AC4" s="50"/>
      <c r="AD4" t="s">
        <v>19</v>
      </c>
      <c r="AF4" s="79" t="s">
        <v>29</v>
      </c>
    </row>
    <row r="5" spans="10:32" ht="19" thickBot="1" x14ac:dyDescent="0.5">
      <c r="N5" s="51"/>
      <c r="O5" s="54"/>
      <c r="P5" s="71"/>
      <c r="Q5" s="52"/>
      <c r="R5" s="53"/>
      <c r="S5" t="s">
        <v>18</v>
      </c>
      <c r="Y5" s="51"/>
      <c r="Z5" s="54"/>
      <c r="AA5" s="71"/>
      <c r="AB5" s="52"/>
      <c r="AC5" s="53"/>
      <c r="AD5" t="s">
        <v>18</v>
      </c>
      <c r="AF5" s="79"/>
    </row>
    <row r="6" spans="10:32" ht="18.5" x14ac:dyDescent="0.45">
      <c r="M6" s="40"/>
      <c r="N6" s="41"/>
      <c r="O6" s="46"/>
      <c r="P6" s="46"/>
      <c r="Q6" s="46"/>
      <c r="R6" s="41"/>
      <c r="S6" s="42"/>
      <c r="T6" t="s">
        <v>20</v>
      </c>
      <c r="X6" s="40"/>
      <c r="Y6" s="41"/>
      <c r="Z6" s="46"/>
      <c r="AA6" s="46"/>
      <c r="AB6" s="46"/>
      <c r="AC6" s="41"/>
      <c r="AD6" s="42"/>
      <c r="AE6" t="s">
        <v>20</v>
      </c>
      <c r="AF6" s="79" t="s">
        <v>27</v>
      </c>
    </row>
    <row r="7" spans="10:32" ht="16" thickBot="1" x14ac:dyDescent="0.4">
      <c r="M7" s="43"/>
      <c r="N7" s="44"/>
      <c r="O7" s="47"/>
      <c r="P7" s="47"/>
      <c r="Q7" s="47"/>
      <c r="R7" s="44"/>
      <c r="S7" s="45"/>
      <c r="T7" t="s">
        <v>13</v>
      </c>
      <c r="X7" s="43"/>
      <c r="Y7" s="44"/>
      <c r="Z7" s="47"/>
      <c r="AA7" s="47"/>
      <c r="AB7" s="47"/>
      <c r="AC7" s="44"/>
      <c r="AD7" s="45"/>
      <c r="AE7" t="s">
        <v>13</v>
      </c>
    </row>
    <row r="8" spans="10:32" x14ac:dyDescent="0.35">
      <c r="M8" s="17"/>
      <c r="O8" s="56"/>
      <c r="P8" s="26">
        <f>P33-P16</f>
        <v>4416</v>
      </c>
      <c r="Q8" s="68"/>
      <c r="R8" s="23"/>
      <c r="S8" s="24" t="s">
        <v>12</v>
      </c>
      <c r="X8" s="17"/>
      <c r="Z8" s="56"/>
      <c r="AA8" s="26">
        <f>AA33-AA16</f>
        <v>7424</v>
      </c>
      <c r="AB8" s="68"/>
      <c r="AC8" s="23"/>
      <c r="AD8" s="24" t="s">
        <v>12</v>
      </c>
    </row>
    <row r="9" spans="10:32" x14ac:dyDescent="0.35">
      <c r="M9" s="17"/>
      <c r="O9" s="57"/>
      <c r="P9" s="27"/>
      <c r="Q9" s="57"/>
      <c r="S9" s="24"/>
      <c r="X9" s="17"/>
      <c r="Z9" s="57"/>
      <c r="AA9" s="27"/>
      <c r="AB9" s="57"/>
      <c r="AD9" s="24"/>
    </row>
    <row r="10" spans="10:32" x14ac:dyDescent="0.35">
      <c r="M10" s="17"/>
      <c r="N10" s="19"/>
      <c r="O10" s="57"/>
      <c r="P10" s="27" t="s">
        <v>10</v>
      </c>
      <c r="Q10" s="57"/>
      <c r="R10" s="19"/>
      <c r="S10" s="24"/>
      <c r="X10" s="17"/>
      <c r="Y10" s="19"/>
      <c r="Z10" s="57"/>
      <c r="AA10" s="27" t="s">
        <v>10</v>
      </c>
      <c r="AB10" s="57"/>
      <c r="AC10" s="19"/>
      <c r="AD10" s="24"/>
    </row>
    <row r="11" spans="10:32" ht="16" thickBot="1" x14ac:dyDescent="0.4">
      <c r="J11" s="107">
        <v>2300</v>
      </c>
      <c r="K11" s="107"/>
      <c r="L11" s="107"/>
      <c r="M11" s="18"/>
      <c r="N11" s="19"/>
      <c r="O11" s="57"/>
      <c r="P11" s="114" t="s">
        <v>9</v>
      </c>
      <c r="Q11" s="69"/>
      <c r="R11" s="20"/>
      <c r="S11" s="25"/>
      <c r="T11" s="6" t="s">
        <v>2</v>
      </c>
      <c r="X11" s="18"/>
      <c r="Y11" s="19"/>
      <c r="Z11" s="57"/>
      <c r="AA11" s="114" t="s">
        <v>9</v>
      </c>
      <c r="AB11" s="69"/>
      <c r="AC11" s="20"/>
      <c r="AD11" s="25"/>
      <c r="AE11" s="6" t="s">
        <v>2</v>
      </c>
    </row>
    <row r="12" spans="10:32" ht="15" thickTop="1" x14ac:dyDescent="0.35">
      <c r="J12" s="11"/>
      <c r="K12" s="11"/>
      <c r="L12" s="11"/>
      <c r="N12" s="19"/>
      <c r="O12" s="57"/>
      <c r="P12" s="114"/>
      <c r="Q12" s="69"/>
      <c r="R12" s="20"/>
      <c r="V12" s="11"/>
      <c r="W12" s="11"/>
      <c r="Y12" s="19"/>
      <c r="Z12" s="57"/>
      <c r="AA12" s="114"/>
      <c r="AB12" s="69"/>
      <c r="AC12" s="20"/>
    </row>
    <row r="13" spans="10:32" x14ac:dyDescent="0.35">
      <c r="J13" s="11"/>
      <c r="K13" s="11"/>
      <c r="L13" s="11"/>
      <c r="N13" s="19"/>
      <c r="O13" s="57"/>
      <c r="P13" s="27"/>
      <c r="Q13" s="57"/>
      <c r="R13" s="19"/>
      <c r="V13" s="11"/>
      <c r="W13" s="11"/>
      <c r="Y13" s="19"/>
      <c r="Z13" s="57"/>
      <c r="AA13" s="27"/>
      <c r="AB13" s="57"/>
      <c r="AC13" s="19"/>
    </row>
    <row r="14" spans="10:32" ht="15.5" x14ac:dyDescent="0.35">
      <c r="J14" s="11"/>
      <c r="K14" s="11"/>
      <c r="L14" s="11"/>
      <c r="N14" s="19"/>
      <c r="O14" s="58"/>
      <c r="P14" s="114" t="s">
        <v>11</v>
      </c>
      <c r="Q14" s="69"/>
      <c r="R14" s="20"/>
      <c r="S14" s="6" t="s">
        <v>3</v>
      </c>
      <c r="V14" s="11"/>
      <c r="W14" s="11"/>
      <c r="Y14" s="19"/>
      <c r="Z14" s="58"/>
      <c r="AA14" s="114" t="s">
        <v>11</v>
      </c>
      <c r="AB14" s="69"/>
      <c r="AC14" s="20"/>
      <c r="AD14" s="6" t="s">
        <v>3</v>
      </c>
    </row>
    <row r="15" spans="10:32" x14ac:dyDescent="0.35">
      <c r="J15" s="11"/>
      <c r="K15" s="11"/>
      <c r="L15" s="11"/>
      <c r="N15" s="19"/>
      <c r="O15" s="58"/>
      <c r="P15" s="114"/>
      <c r="Q15" s="63"/>
      <c r="R15" s="20"/>
      <c r="V15" s="11"/>
      <c r="W15" s="11"/>
      <c r="Y15" s="19"/>
      <c r="Z15" s="58"/>
      <c r="AA15" s="114"/>
      <c r="AB15" s="63"/>
      <c r="AC15" s="20"/>
    </row>
    <row r="16" spans="10:32" x14ac:dyDescent="0.35">
      <c r="J16" s="11"/>
      <c r="K16" s="11"/>
      <c r="L16" s="11"/>
      <c r="N16" s="19"/>
      <c r="O16" s="58"/>
      <c r="P16" s="28">
        <f>0.1*P32</f>
        <v>1200</v>
      </c>
      <c r="Q16" s="64"/>
      <c r="R16" s="21"/>
      <c r="V16" s="11"/>
      <c r="W16" s="11"/>
      <c r="Y16" s="19"/>
      <c r="Z16" s="58"/>
      <c r="AA16" s="28">
        <f>0.1*V26</f>
        <v>1000</v>
      </c>
      <c r="AB16" s="64"/>
      <c r="AC16" s="21"/>
    </row>
    <row r="17" spans="10:30" ht="16" thickBot="1" x14ac:dyDescent="0.4">
      <c r="J17" s="107">
        <v>5300</v>
      </c>
      <c r="K17" s="107"/>
      <c r="L17" s="107"/>
      <c r="N17" s="55"/>
      <c r="O17" s="24"/>
      <c r="P17" s="29"/>
      <c r="Q17" s="65"/>
      <c r="R17" s="59"/>
      <c r="S17" s="6" t="s">
        <v>21</v>
      </c>
      <c r="Y17" s="55"/>
      <c r="Z17" s="24"/>
      <c r="AA17" s="29"/>
      <c r="AB17" s="65"/>
      <c r="AC17" s="59"/>
      <c r="AD17" s="6" t="s">
        <v>21</v>
      </c>
    </row>
    <row r="18" spans="10:30" ht="15" thickTop="1" x14ac:dyDescent="0.35">
      <c r="J18" s="11"/>
      <c r="K18" s="11"/>
      <c r="L18" s="11"/>
      <c r="O18" s="19"/>
      <c r="P18" s="27"/>
      <c r="Q18" s="19"/>
      <c r="V18" s="11"/>
      <c r="W18" s="11"/>
      <c r="Z18" s="19"/>
      <c r="AA18" s="27"/>
      <c r="AB18" s="19"/>
    </row>
    <row r="19" spans="10:30" x14ac:dyDescent="0.35">
      <c r="J19" s="11"/>
      <c r="K19" s="11"/>
      <c r="L19" s="11"/>
      <c r="M19" s="12"/>
      <c r="N19" s="12"/>
      <c r="O19" s="62"/>
      <c r="P19" s="60"/>
      <c r="Q19" s="66"/>
      <c r="R19" s="13"/>
      <c r="V19" s="11"/>
      <c r="W19" s="11"/>
      <c r="X19" s="12"/>
      <c r="Y19" s="12"/>
      <c r="Z19" s="62"/>
      <c r="AA19" s="60"/>
      <c r="AB19" s="66"/>
      <c r="AC19" s="13"/>
    </row>
    <row r="20" spans="10:30" x14ac:dyDescent="0.35">
      <c r="M20" s="12"/>
      <c r="N20" s="12"/>
      <c r="O20" s="62"/>
      <c r="P20" s="61"/>
      <c r="Q20" s="67"/>
      <c r="R20" s="15"/>
      <c r="X20" s="12"/>
      <c r="Y20" s="12"/>
      <c r="Z20" s="62"/>
      <c r="AA20" s="61"/>
      <c r="AB20" s="67"/>
      <c r="AC20" s="15"/>
    </row>
    <row r="21" spans="10:30" x14ac:dyDescent="0.35">
      <c r="O21" s="19"/>
      <c r="P21" s="27"/>
      <c r="Q21" s="19"/>
      <c r="Z21" s="19"/>
      <c r="AA21" s="27"/>
      <c r="AB21" s="19"/>
    </row>
    <row r="22" spans="10:30" x14ac:dyDescent="0.35">
      <c r="O22" s="19"/>
      <c r="P22" s="27"/>
      <c r="Q22" s="19"/>
      <c r="Z22" s="19"/>
      <c r="AA22" s="27"/>
      <c r="AB22" s="19"/>
    </row>
    <row r="23" spans="10:30" x14ac:dyDescent="0.35">
      <c r="O23" s="19"/>
      <c r="P23" s="27"/>
      <c r="Q23" s="19"/>
      <c r="Z23" s="19"/>
      <c r="AA23" s="27"/>
      <c r="AB23" s="19"/>
    </row>
    <row r="24" spans="10:30" x14ac:dyDescent="0.35">
      <c r="O24" s="19"/>
      <c r="P24" s="27"/>
      <c r="Q24" s="19"/>
      <c r="Z24" s="19"/>
      <c r="AA24" s="27"/>
      <c r="AB24" s="19"/>
    </row>
    <row r="25" spans="10:30" x14ac:dyDescent="0.35">
      <c r="O25" s="19"/>
      <c r="P25" s="27"/>
      <c r="Q25" s="19"/>
      <c r="Z25" s="19"/>
      <c r="AA25" s="27"/>
      <c r="AB25" s="19"/>
    </row>
    <row r="26" spans="10:30" ht="15" thickBot="1" x14ac:dyDescent="0.4">
      <c r="K26" s="107">
        <v>10000</v>
      </c>
      <c r="L26" s="107"/>
      <c r="M26" s="107"/>
      <c r="O26" s="18"/>
      <c r="P26" s="27"/>
      <c r="Q26" s="25"/>
      <c r="V26" s="107">
        <v>10000</v>
      </c>
      <c r="W26" s="107"/>
      <c r="X26" s="107"/>
      <c r="Z26" s="18"/>
      <c r="AA26" s="27"/>
      <c r="AB26" s="25"/>
    </row>
    <row r="27" spans="10:30" ht="15" thickTop="1" x14ac:dyDescent="0.35">
      <c r="P27" s="30"/>
      <c r="AA27" s="30"/>
    </row>
    <row r="28" spans="10:30" x14ac:dyDescent="0.35">
      <c r="P28" s="30"/>
      <c r="AA28" s="30"/>
    </row>
    <row r="29" spans="10:30" x14ac:dyDescent="0.35">
      <c r="P29" s="33"/>
      <c r="Q29" t="s">
        <v>37</v>
      </c>
      <c r="AA29" s="33"/>
      <c r="AB29" t="s">
        <v>37</v>
      </c>
    </row>
    <row r="31" spans="10:30" x14ac:dyDescent="0.35">
      <c r="J31" s="78" t="s">
        <v>23</v>
      </c>
      <c r="N31" s="12" t="s">
        <v>5</v>
      </c>
      <c r="O31" s="12"/>
      <c r="P31" s="34">
        <v>9</v>
      </c>
      <c r="Q31" s="34"/>
      <c r="S31" t="s">
        <v>6</v>
      </c>
      <c r="U31" s="78" t="s">
        <v>26</v>
      </c>
      <c r="Y31" s="12" t="s">
        <v>5</v>
      </c>
      <c r="Z31" s="12"/>
      <c r="AA31" s="34">
        <v>16.2</v>
      </c>
      <c r="AB31" s="34"/>
      <c r="AD31" t="s">
        <v>6</v>
      </c>
    </row>
    <row r="32" spans="10:30" x14ac:dyDescent="0.35">
      <c r="N32" s="12" t="s">
        <v>24</v>
      </c>
      <c r="P32">
        <v>12000</v>
      </c>
      <c r="S32" t="s">
        <v>25</v>
      </c>
      <c r="Y32" s="12" t="s">
        <v>24</v>
      </c>
      <c r="AA32">
        <v>10000</v>
      </c>
      <c r="AD32" t="s">
        <v>25</v>
      </c>
    </row>
    <row r="33" spans="14:31" x14ac:dyDescent="0.35">
      <c r="N33" s="12" t="s">
        <v>5</v>
      </c>
      <c r="O33" s="12"/>
      <c r="P33" s="35">
        <f>0.052*P31*P32</f>
        <v>5616</v>
      </c>
      <c r="Q33" s="35"/>
      <c r="S33" t="s">
        <v>7</v>
      </c>
      <c r="T33" t="s">
        <v>8</v>
      </c>
      <c r="Y33" s="12" t="s">
        <v>5</v>
      </c>
      <c r="Z33" s="12"/>
      <c r="AA33" s="35">
        <f>0.052*AA31*AA32</f>
        <v>8424</v>
      </c>
      <c r="AB33" s="35"/>
      <c r="AD33" t="s">
        <v>7</v>
      </c>
      <c r="AE33" t="s">
        <v>8</v>
      </c>
    </row>
  </sheetData>
  <mergeCells count="8">
    <mergeCell ref="AA11:AA12"/>
    <mergeCell ref="AA14:AA15"/>
    <mergeCell ref="V26:X26"/>
    <mergeCell ref="J11:L11"/>
    <mergeCell ref="P11:P12"/>
    <mergeCell ref="P14:P15"/>
    <mergeCell ref="J17:L17"/>
    <mergeCell ref="K26:M26"/>
  </mergeCells>
  <pageMargins left="0.7" right="0.7" top="0.75" bottom="0.75" header="0.3" footer="0.3"/>
  <pageSetup orientation="portrait" horizontalDpi="120" verticalDpi="7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4A36-D7D0-48CB-B847-79C8FB37C11F}">
  <dimension ref="A3:B6"/>
  <sheetViews>
    <sheetView workbookViewId="0">
      <selection activeCell="B6" sqref="B6"/>
    </sheetView>
  </sheetViews>
  <sheetFormatPr defaultRowHeight="14.5" x14ac:dyDescent="0.35"/>
  <cols>
    <col min="1" max="1" width="14.453125" customWidth="1"/>
    <col min="2" max="2" width="55.81640625" customWidth="1"/>
  </cols>
  <sheetData>
    <row r="3" spans="1:2" x14ac:dyDescent="0.35">
      <c r="A3" t="s">
        <v>33</v>
      </c>
      <c r="B3" s="81" t="str">
        <f>'30 conductor'!K3</f>
        <v>30" Bevel End Bottom X 29-1/2" 500 psi Flange Top</v>
      </c>
    </row>
    <row r="4" spans="1:2" x14ac:dyDescent="0.35">
      <c r="A4" t="s">
        <v>34</v>
      </c>
      <c r="B4" t="str">
        <f>'9-58 casing '!AF6</f>
        <v>20" SOW Bottom X 20-3/4" 3000 psi Flange Top</v>
      </c>
    </row>
    <row r="5" spans="1:2" x14ac:dyDescent="0.35">
      <c r="A5" t="s">
        <v>35</v>
      </c>
      <c r="B5" t="str">
        <f>'9-58 casing '!AF4</f>
        <v>20-3/4" 3000 psi Flange Bottom X 13-5/8" 10000 psi Flange Top</v>
      </c>
    </row>
    <row r="6" spans="1:2" x14ac:dyDescent="0.35">
      <c r="A6" t="s">
        <v>36</v>
      </c>
      <c r="B6" t="str">
        <f>'9-58 casing '!AF2</f>
        <v>13-5/8" 10000 psi Flange Bottom X 11" 10000 psi Flange Top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Casing Schematic</vt:lpstr>
      <vt:lpstr>30 conductor</vt:lpstr>
      <vt:lpstr>20 casing</vt:lpstr>
      <vt:lpstr>13-38 casing</vt:lpstr>
      <vt:lpstr>9-58 casing </vt:lpstr>
      <vt:lpstr>wellhead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GEO DIPA</dc:creator>
  <cp:lastModifiedBy>yudi hartono</cp:lastModifiedBy>
  <dcterms:created xsi:type="dcterms:W3CDTF">2021-10-19T13:22:57Z</dcterms:created>
  <dcterms:modified xsi:type="dcterms:W3CDTF">2026-06-12T22:48:43Z</dcterms:modified>
</cp:coreProperties>
</file>